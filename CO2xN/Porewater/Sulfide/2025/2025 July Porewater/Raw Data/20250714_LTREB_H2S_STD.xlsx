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net-my.sharepoint.com/personal/blakleybd_si_edu/Documents/Documents/GitHub/GCREW/CO2xN/Porewater/Sulfide/2025/2025 July Porewater/Raw Data/"/>
    </mc:Choice>
  </mc:AlternateContent>
  <xr:revisionPtr revIDLastSave="1" documentId="8_{951BF606-1041-4825-9791-8A7B532B5480}" xr6:coauthVersionLast="47" xr6:coauthVersionMax="47" xr10:uidLastSave="{B8E34F4B-136F-4DC2-A935-43EAE0E2C170}"/>
  <bookViews>
    <workbookView xWindow="2265" yWindow="1230" windowWidth="23955" windowHeight="13185" xr2:uid="{EC5EF5D1-F9F4-4E06-B5C3-1B303F8F9B1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F30" i="1"/>
  <c r="F31" i="1"/>
  <c r="F34" i="1"/>
  <c r="F35" i="1"/>
  <c r="F29" i="1"/>
  <c r="C13" i="1"/>
  <c r="C14" i="1"/>
  <c r="C12" i="1"/>
  <c r="C16" i="1"/>
  <c r="C17" i="1"/>
  <c r="C11" i="1"/>
</calcChain>
</file>

<file path=xl/sharedStrings.xml><?xml version="1.0" encoding="utf-8"?>
<sst xmlns="http://schemas.openxmlformats.org/spreadsheetml/2006/main" count="16" uniqueCount="8">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</sst>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7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 indent="1"/>
    </xf>
    <xf numFmtId="0" fontId="2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Sheet1!$B$11:$B$16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12.5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Sheet1!$C$11:$C$16</c:f>
              <c:numCache>
                <c:formatCode>General</c:formatCode>
                <c:ptCount val="6"/>
                <c:pt idx="0">
                  <c:v>6.4666666666666664E-2</c:v>
                </c:pt>
                <c:pt idx="1">
                  <c:v>0.17400000000000002</c:v>
                </c:pt>
                <c:pt idx="2">
                  <c:v>0.2475</c:v>
                </c:pt>
                <c:pt idx="3">
                  <c:v>0.46600000000000003</c:v>
                </c:pt>
                <c:pt idx="5">
                  <c:v>1.2043333333333333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EE-4487-9AB9-E654821278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317064"/>
        <c:axId val="425312472"/>
      </c:scatterChart>
      <c:valAx>
        <c:axId val="425317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312472"/>
        <c:crosses val="autoZero"/>
        <c:crossBetween val="midCat"/>
      </c:valAx>
      <c:valAx>
        <c:axId val="425312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317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Sheet1!$E$29:$E$34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12.5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Sheet1!$F$29:$F$34</c:f>
              <c:numCache>
                <c:formatCode>General</c:formatCode>
                <c:ptCount val="6"/>
                <c:pt idx="0">
                  <c:v>7.1000000000000008E-2</c:v>
                </c:pt>
                <c:pt idx="1">
                  <c:v>0.16900000000000001</c:v>
                </c:pt>
                <c:pt idx="2">
                  <c:v>0.22833333333333336</c:v>
                </c:pt>
                <c:pt idx="4">
                  <c:v>0.626</c:v>
                </c:pt>
                <c:pt idx="5">
                  <c:v>1.2096666666666667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EE-4BC5-9EA7-6320D03E1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4198512"/>
        <c:axId val="344199168"/>
      </c:scatterChart>
      <c:valAx>
        <c:axId val="344198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199168"/>
        <c:crosses val="autoZero"/>
        <c:crossBetween val="midCat"/>
      </c:valAx>
      <c:valAx>
        <c:axId val="34419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198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80962</xdr:colOff>
      <xdr:row>4</xdr:row>
      <xdr:rowOff>185737</xdr:rowOff>
    </xdr:from>
    <xdr:to>
      <xdr:col>22</xdr:col>
      <xdr:colOff>385762</xdr:colOff>
      <xdr:row>19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C0F49D-9B80-417A-9C9C-99F960EFD8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438150</xdr:colOff>
      <xdr:row>24</xdr:row>
      <xdr:rowOff>71437</xdr:rowOff>
    </xdr:from>
    <xdr:to>
      <xdr:col>15</xdr:col>
      <xdr:colOff>133350</xdr:colOff>
      <xdr:row>38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C4E8843-620C-4008-993B-2D51CFD3C3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F8375-83E8-41C7-9A0B-8C0DAAFD76D0}">
  <dimension ref="A1:N35"/>
  <sheetViews>
    <sheetView tabSelected="1" workbookViewId="0">
      <selection activeCell="F34" sqref="F34"/>
    </sheetView>
  </sheetViews>
  <sheetFormatPr defaultRowHeight="15" x14ac:dyDescent="0.25"/>
  <sheetData>
    <row r="1" spans="1:14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14" x14ac:dyDescent="0.25">
      <c r="A2" s="2" t="s">
        <v>0</v>
      </c>
      <c r="B2" s="3">
        <v>6.6000000000000003E-2</v>
      </c>
      <c r="C2" s="3">
        <v>6.5000000000000002E-2</v>
      </c>
      <c r="D2" s="3">
        <v>6.3E-2</v>
      </c>
      <c r="E2" s="3">
        <v>0.05</v>
      </c>
      <c r="F2" s="3">
        <v>5.5E-2</v>
      </c>
      <c r="G2" s="3">
        <v>4.9000000000000002E-2</v>
      </c>
      <c r="H2" s="3">
        <v>5.0999999999999997E-2</v>
      </c>
      <c r="I2" s="3">
        <v>4.5999999999999999E-2</v>
      </c>
      <c r="J2" s="3">
        <v>4.7E-2</v>
      </c>
      <c r="K2" s="3">
        <v>4.9000000000000002E-2</v>
      </c>
      <c r="L2" s="3">
        <v>4.5999999999999999E-2</v>
      </c>
      <c r="M2" s="3">
        <v>4.5999999999999999E-2</v>
      </c>
      <c r="N2" s="4">
        <v>670</v>
      </c>
    </row>
    <row r="3" spans="1:14" x14ac:dyDescent="0.25">
      <c r="A3" s="2" t="s">
        <v>1</v>
      </c>
      <c r="B3" s="3">
        <v>0.186</v>
      </c>
      <c r="C3" s="3">
        <v>0.17299999999999999</v>
      </c>
      <c r="D3" s="3">
        <v>0.16300000000000001</v>
      </c>
      <c r="E3" s="3">
        <v>4.3999999999999997E-2</v>
      </c>
      <c r="F3" s="3">
        <v>4.4999999999999998E-2</v>
      </c>
      <c r="G3" s="3">
        <v>4.4999999999999998E-2</v>
      </c>
      <c r="H3" s="3">
        <v>4.7E-2</v>
      </c>
      <c r="I3" s="3">
        <v>4.4999999999999998E-2</v>
      </c>
      <c r="J3" s="3">
        <v>4.4999999999999998E-2</v>
      </c>
      <c r="K3" s="3">
        <v>4.5999999999999999E-2</v>
      </c>
      <c r="L3" s="3">
        <v>4.3999999999999997E-2</v>
      </c>
      <c r="M3" s="3">
        <v>4.4999999999999998E-2</v>
      </c>
      <c r="N3" s="4">
        <v>670</v>
      </c>
    </row>
    <row r="4" spans="1:14" x14ac:dyDescent="0.25">
      <c r="A4" s="2" t="s">
        <v>2</v>
      </c>
      <c r="B4" s="3">
        <v>0.247</v>
      </c>
      <c r="C4" s="3">
        <v>0.28799999999999998</v>
      </c>
      <c r="D4" s="3">
        <v>0.248</v>
      </c>
      <c r="E4" s="3">
        <v>4.4999999999999998E-2</v>
      </c>
      <c r="F4" s="3">
        <v>4.5999999999999999E-2</v>
      </c>
      <c r="G4" s="3">
        <v>4.4999999999999998E-2</v>
      </c>
      <c r="H4" s="3">
        <v>4.7E-2</v>
      </c>
      <c r="I4" s="3">
        <v>4.3999999999999997E-2</v>
      </c>
      <c r="J4" s="3">
        <v>4.4999999999999998E-2</v>
      </c>
      <c r="K4" s="3">
        <v>4.4999999999999998E-2</v>
      </c>
      <c r="L4" s="3">
        <v>4.4999999999999998E-2</v>
      </c>
      <c r="M4" s="3">
        <v>4.5999999999999999E-2</v>
      </c>
      <c r="N4" s="4">
        <v>670</v>
      </c>
    </row>
    <row r="5" spans="1:14" x14ac:dyDescent="0.25">
      <c r="A5" s="2" t="s">
        <v>3</v>
      </c>
      <c r="B5" s="3">
        <v>0.47499999999999998</v>
      </c>
      <c r="C5" s="3">
        <v>0.46600000000000003</v>
      </c>
      <c r="D5" s="3">
        <v>0.46600000000000003</v>
      </c>
      <c r="E5" s="3">
        <v>5.6000000000000001E-2</v>
      </c>
      <c r="F5" s="3">
        <v>5.1999999999999998E-2</v>
      </c>
      <c r="G5" s="3">
        <v>5.6000000000000001E-2</v>
      </c>
      <c r="H5" s="3">
        <v>5.8000000000000003E-2</v>
      </c>
      <c r="I5" s="3">
        <v>5.6000000000000001E-2</v>
      </c>
      <c r="J5" s="3">
        <v>5.0999999999999997E-2</v>
      </c>
      <c r="K5" s="3">
        <v>6.3E-2</v>
      </c>
      <c r="L5" s="3">
        <v>6.2E-2</v>
      </c>
      <c r="M5" s="3">
        <v>4.7E-2</v>
      </c>
      <c r="N5" s="4">
        <v>670</v>
      </c>
    </row>
    <row r="6" spans="1:14" x14ac:dyDescent="0.25">
      <c r="A6" s="2" t="s">
        <v>4</v>
      </c>
      <c r="B6" s="3">
        <v>0.94399999999999995</v>
      </c>
      <c r="C6" s="3">
        <v>0.65500000000000003</v>
      </c>
      <c r="D6" s="3">
        <v>0.80500000000000005</v>
      </c>
      <c r="E6" s="3">
        <v>4.3999999999999997E-2</v>
      </c>
      <c r="F6" s="3">
        <v>4.3999999999999997E-2</v>
      </c>
      <c r="G6" s="3">
        <v>4.3999999999999997E-2</v>
      </c>
      <c r="H6" s="3">
        <v>4.3999999999999997E-2</v>
      </c>
      <c r="I6" s="3">
        <v>4.3999999999999997E-2</v>
      </c>
      <c r="J6" s="3">
        <v>4.3999999999999997E-2</v>
      </c>
      <c r="K6" s="3">
        <v>4.3999999999999997E-2</v>
      </c>
      <c r="L6" s="3">
        <v>4.3999999999999997E-2</v>
      </c>
      <c r="M6" s="3">
        <v>4.3999999999999997E-2</v>
      </c>
      <c r="N6" s="4">
        <v>670</v>
      </c>
    </row>
    <row r="7" spans="1:14" x14ac:dyDescent="0.25">
      <c r="A7" s="2" t="s">
        <v>5</v>
      </c>
      <c r="B7" s="3">
        <v>1.238</v>
      </c>
      <c r="C7" s="3">
        <v>1.2110000000000001</v>
      </c>
      <c r="D7" s="3">
        <v>1.1639999999999999</v>
      </c>
      <c r="E7" s="3">
        <v>4.3999999999999997E-2</v>
      </c>
      <c r="F7" s="3">
        <v>4.4999999999999998E-2</v>
      </c>
      <c r="G7" s="3">
        <v>4.3999999999999997E-2</v>
      </c>
      <c r="H7" s="3">
        <v>4.3999999999999997E-2</v>
      </c>
      <c r="I7" s="3">
        <v>4.4999999999999998E-2</v>
      </c>
      <c r="J7" s="3">
        <v>4.4999999999999998E-2</v>
      </c>
      <c r="K7" s="3">
        <v>4.4999999999999998E-2</v>
      </c>
      <c r="L7" s="3">
        <v>4.4999999999999998E-2</v>
      </c>
      <c r="M7" s="3">
        <v>4.4999999999999998E-2</v>
      </c>
      <c r="N7" s="4">
        <v>670</v>
      </c>
    </row>
    <row r="8" spans="1:14" x14ac:dyDescent="0.25">
      <c r="A8" s="2" t="s">
        <v>6</v>
      </c>
      <c r="B8" s="3">
        <v>1.321</v>
      </c>
      <c r="C8" s="3">
        <v>1.3859999999999999</v>
      </c>
      <c r="D8" s="3">
        <v>1.389</v>
      </c>
      <c r="E8" s="3">
        <v>4.3999999999999997E-2</v>
      </c>
      <c r="F8" s="3">
        <v>4.4999999999999998E-2</v>
      </c>
      <c r="G8" s="3">
        <v>4.3999999999999997E-2</v>
      </c>
      <c r="H8" s="3">
        <v>4.3999999999999997E-2</v>
      </c>
      <c r="I8" s="3">
        <v>4.4999999999999998E-2</v>
      </c>
      <c r="J8" s="3">
        <v>4.5999999999999999E-2</v>
      </c>
      <c r="K8" s="3">
        <v>4.3999999999999997E-2</v>
      </c>
      <c r="L8" s="3">
        <v>4.4999999999999998E-2</v>
      </c>
      <c r="M8" s="3">
        <v>4.5999999999999999E-2</v>
      </c>
      <c r="N8" s="4">
        <v>670</v>
      </c>
    </row>
    <row r="9" spans="1:14" x14ac:dyDescent="0.25">
      <c r="A9" s="2" t="s">
        <v>7</v>
      </c>
      <c r="B9" s="3">
        <v>4.3999999999999997E-2</v>
      </c>
      <c r="C9" s="3">
        <v>4.4999999999999998E-2</v>
      </c>
      <c r="D9" s="3">
        <v>4.8000000000000001E-2</v>
      </c>
      <c r="E9" s="3">
        <v>4.4999999999999998E-2</v>
      </c>
      <c r="F9" s="3">
        <v>4.4999999999999998E-2</v>
      </c>
      <c r="G9" s="3">
        <v>4.5999999999999999E-2</v>
      </c>
      <c r="H9" s="3">
        <v>4.4999999999999998E-2</v>
      </c>
      <c r="I9" s="3">
        <v>4.4999999999999998E-2</v>
      </c>
      <c r="J9" s="3">
        <v>4.7E-2</v>
      </c>
      <c r="K9" s="3">
        <v>4.3999999999999997E-2</v>
      </c>
      <c r="L9" s="3">
        <v>4.4999999999999998E-2</v>
      </c>
      <c r="M9" s="3">
        <v>4.8000000000000001E-2</v>
      </c>
      <c r="N9" s="4">
        <v>670</v>
      </c>
    </row>
    <row r="11" spans="1:14" x14ac:dyDescent="0.25">
      <c r="B11" s="5">
        <v>0</v>
      </c>
      <c r="C11">
        <f>AVERAGE(B2:D2)</f>
        <v>6.4666666666666664E-2</v>
      </c>
    </row>
    <row r="12" spans="1:14" x14ac:dyDescent="0.25">
      <c r="B12" s="5">
        <v>5</v>
      </c>
      <c r="C12">
        <f t="shared" ref="C12:C17" si="0">AVERAGE(B3:D3)</f>
        <v>0.17400000000000002</v>
      </c>
    </row>
    <row r="13" spans="1:14" x14ac:dyDescent="0.25">
      <c r="B13" s="5">
        <v>12.5</v>
      </c>
      <c r="C13">
        <f>AVERAGE(B4,D4)</f>
        <v>0.2475</v>
      </c>
    </row>
    <row r="14" spans="1:14" x14ac:dyDescent="0.25">
      <c r="B14" s="5">
        <v>25</v>
      </c>
      <c r="C14">
        <f>AVERAGE(C5:D5)</f>
        <v>0.46600000000000003</v>
      </c>
    </row>
    <row r="15" spans="1:14" x14ac:dyDescent="0.25">
      <c r="B15" s="5">
        <v>50</v>
      </c>
    </row>
    <row r="16" spans="1:14" x14ac:dyDescent="0.25">
      <c r="B16" s="5">
        <v>100</v>
      </c>
      <c r="C16">
        <f t="shared" si="0"/>
        <v>1.2043333333333333</v>
      </c>
    </row>
    <row r="17" spans="1:14" x14ac:dyDescent="0.25">
      <c r="C17">
        <f t="shared" si="0"/>
        <v>1.3653333333333333</v>
      </c>
    </row>
    <row r="19" spans="1:14" x14ac:dyDescent="0.25">
      <c r="A19" s="1"/>
      <c r="B19" s="2">
        <v>1</v>
      </c>
      <c r="C19" s="2">
        <v>2</v>
      </c>
      <c r="D19" s="2">
        <v>3</v>
      </c>
      <c r="E19" s="2">
        <v>4</v>
      </c>
      <c r="F19" s="2">
        <v>5</v>
      </c>
      <c r="G19" s="2">
        <v>6</v>
      </c>
      <c r="H19" s="2">
        <v>7</v>
      </c>
      <c r="I19" s="2">
        <v>8</v>
      </c>
      <c r="J19" s="2">
        <v>9</v>
      </c>
      <c r="K19" s="2">
        <v>10</v>
      </c>
      <c r="L19" s="2">
        <v>11</v>
      </c>
      <c r="M19" s="2">
        <v>12</v>
      </c>
    </row>
    <row r="20" spans="1:14" x14ac:dyDescent="0.25">
      <c r="A20" s="2" t="s">
        <v>0</v>
      </c>
      <c r="B20" s="3">
        <v>5.2999999999999999E-2</v>
      </c>
      <c r="C20" s="3">
        <v>5.1999999999999998E-2</v>
      </c>
      <c r="D20" s="3">
        <v>5.3999999999999999E-2</v>
      </c>
      <c r="E20" s="3">
        <v>6.9000000000000006E-2</v>
      </c>
      <c r="F20" s="3">
        <v>7.4999999999999997E-2</v>
      </c>
      <c r="G20" s="3">
        <v>6.9000000000000006E-2</v>
      </c>
      <c r="H20" s="3">
        <v>5.1999999999999998E-2</v>
      </c>
      <c r="I20" s="3">
        <v>4.5999999999999999E-2</v>
      </c>
      <c r="J20" s="3">
        <v>4.7E-2</v>
      </c>
      <c r="K20" s="3">
        <v>4.9000000000000002E-2</v>
      </c>
      <c r="L20" s="3">
        <v>4.5999999999999999E-2</v>
      </c>
      <c r="M20" s="3">
        <v>4.5999999999999999E-2</v>
      </c>
      <c r="N20" s="4">
        <v>670</v>
      </c>
    </row>
    <row r="21" spans="1:14" x14ac:dyDescent="0.25">
      <c r="A21" s="2" t="s">
        <v>1</v>
      </c>
      <c r="B21" s="3">
        <v>0.19</v>
      </c>
      <c r="C21" s="3">
        <v>0.17899999999999999</v>
      </c>
      <c r="D21" s="3">
        <v>0.16600000000000001</v>
      </c>
      <c r="E21" s="3">
        <v>0.16300000000000001</v>
      </c>
      <c r="F21" s="3">
        <v>0.17599999999999999</v>
      </c>
      <c r="G21" s="3">
        <v>0.16800000000000001</v>
      </c>
      <c r="H21" s="3">
        <v>4.5999999999999999E-2</v>
      </c>
      <c r="I21" s="3">
        <v>4.4999999999999998E-2</v>
      </c>
      <c r="J21" s="3">
        <v>4.4999999999999998E-2</v>
      </c>
      <c r="K21" s="3">
        <v>4.5999999999999999E-2</v>
      </c>
      <c r="L21" s="3">
        <v>4.3999999999999997E-2</v>
      </c>
      <c r="M21" s="3">
        <v>4.4999999999999998E-2</v>
      </c>
      <c r="N21" s="4">
        <v>670</v>
      </c>
    </row>
    <row r="22" spans="1:14" x14ac:dyDescent="0.25">
      <c r="A22" s="2" t="s">
        <v>2</v>
      </c>
      <c r="B22" s="3">
        <v>0.24399999999999999</v>
      </c>
      <c r="C22" s="3">
        <v>0.308</v>
      </c>
      <c r="D22" s="3">
        <v>0.25800000000000001</v>
      </c>
      <c r="E22" s="3">
        <v>0.23100000000000001</v>
      </c>
      <c r="F22" s="3">
        <v>0.21</v>
      </c>
      <c r="G22" s="3">
        <v>0.24399999999999999</v>
      </c>
      <c r="H22" s="3">
        <v>4.7E-2</v>
      </c>
      <c r="I22" s="3">
        <v>4.3999999999999997E-2</v>
      </c>
      <c r="J22" s="3">
        <v>4.4999999999999998E-2</v>
      </c>
      <c r="K22" s="3">
        <v>4.4999999999999998E-2</v>
      </c>
      <c r="L22" s="3">
        <v>4.4999999999999998E-2</v>
      </c>
      <c r="M22" s="3">
        <v>4.5999999999999999E-2</v>
      </c>
      <c r="N22" s="4">
        <v>670</v>
      </c>
    </row>
    <row r="23" spans="1:14" x14ac:dyDescent="0.25">
      <c r="A23" s="2" t="s">
        <v>3</v>
      </c>
      <c r="B23" s="3">
        <v>0.52</v>
      </c>
      <c r="C23" s="3">
        <v>0.52800000000000002</v>
      </c>
      <c r="D23" s="3">
        <v>0.503</v>
      </c>
      <c r="E23" s="3">
        <v>0.47399999999999998</v>
      </c>
      <c r="F23" s="3">
        <v>0.53300000000000003</v>
      </c>
      <c r="G23" s="3">
        <v>0.51200000000000001</v>
      </c>
      <c r="H23" s="3">
        <v>5.8000000000000003E-2</v>
      </c>
      <c r="I23" s="3">
        <v>5.6000000000000001E-2</v>
      </c>
      <c r="J23" s="3">
        <v>5.0999999999999997E-2</v>
      </c>
      <c r="K23" s="3">
        <v>6.3E-2</v>
      </c>
      <c r="L23" s="3">
        <v>6.2E-2</v>
      </c>
      <c r="M23" s="3">
        <v>4.7E-2</v>
      </c>
      <c r="N23" s="4">
        <v>670</v>
      </c>
    </row>
    <row r="24" spans="1:14" x14ac:dyDescent="0.25">
      <c r="A24" s="2" t="s">
        <v>4</v>
      </c>
      <c r="B24" s="3">
        <v>1.008</v>
      </c>
      <c r="C24" s="3">
        <v>0.71899999999999997</v>
      </c>
      <c r="D24" s="3">
        <v>0.91</v>
      </c>
      <c r="E24" s="3">
        <v>0.83</v>
      </c>
      <c r="F24" s="3">
        <v>0.59299999999999997</v>
      </c>
      <c r="G24" s="3">
        <v>0.65900000000000003</v>
      </c>
      <c r="H24" s="3">
        <v>4.3999999999999997E-2</v>
      </c>
      <c r="I24" s="3">
        <v>4.3999999999999997E-2</v>
      </c>
      <c r="J24" s="3">
        <v>4.3999999999999997E-2</v>
      </c>
      <c r="K24" s="3">
        <v>4.3999999999999997E-2</v>
      </c>
      <c r="L24" s="3">
        <v>4.3999999999999997E-2</v>
      </c>
      <c r="M24" s="3">
        <v>4.3999999999999997E-2</v>
      </c>
      <c r="N24" s="4">
        <v>670</v>
      </c>
    </row>
    <row r="25" spans="1:14" x14ac:dyDescent="0.25">
      <c r="A25" s="2" t="s">
        <v>5</v>
      </c>
      <c r="B25" s="3">
        <v>1.367</v>
      </c>
      <c r="C25" s="3">
        <v>1.3180000000000001</v>
      </c>
      <c r="D25" s="3">
        <v>1.2809999999999999</v>
      </c>
      <c r="E25" s="3">
        <v>1.2110000000000001</v>
      </c>
      <c r="F25" s="3">
        <v>1.2809999999999999</v>
      </c>
      <c r="G25" s="3">
        <v>1.137</v>
      </c>
      <c r="H25" s="3">
        <v>4.4999999999999998E-2</v>
      </c>
      <c r="I25" s="3">
        <v>4.3999999999999997E-2</v>
      </c>
      <c r="J25" s="3">
        <v>4.4999999999999998E-2</v>
      </c>
      <c r="K25" s="3">
        <v>4.4999999999999998E-2</v>
      </c>
      <c r="L25" s="3">
        <v>4.4999999999999998E-2</v>
      </c>
      <c r="M25" s="3">
        <v>4.3999999999999997E-2</v>
      </c>
      <c r="N25" s="4">
        <v>670</v>
      </c>
    </row>
    <row r="26" spans="1:14" x14ac:dyDescent="0.25">
      <c r="A26" s="2" t="s">
        <v>6</v>
      </c>
      <c r="B26" s="3">
        <v>1.4690000000000001</v>
      </c>
      <c r="C26" s="3">
        <v>1.496</v>
      </c>
      <c r="D26" s="3">
        <v>1.458</v>
      </c>
      <c r="E26" s="3">
        <v>1.2849999999999999</v>
      </c>
      <c r="F26" s="3">
        <v>1.28</v>
      </c>
      <c r="G26" s="3">
        <v>1.3089999999999999</v>
      </c>
      <c r="H26" s="3">
        <v>4.3999999999999997E-2</v>
      </c>
      <c r="I26" s="3">
        <v>4.4999999999999998E-2</v>
      </c>
      <c r="J26" s="3">
        <v>4.5999999999999999E-2</v>
      </c>
      <c r="K26" s="3">
        <v>4.3999999999999997E-2</v>
      </c>
      <c r="L26" s="3">
        <v>4.4999999999999998E-2</v>
      </c>
      <c r="M26" s="3">
        <v>4.5999999999999999E-2</v>
      </c>
      <c r="N26" s="4">
        <v>670</v>
      </c>
    </row>
    <row r="27" spans="1:14" x14ac:dyDescent="0.25">
      <c r="A27" s="2" t="s">
        <v>7</v>
      </c>
      <c r="B27" s="3">
        <v>4.3999999999999997E-2</v>
      </c>
      <c r="C27" s="3">
        <v>4.4999999999999998E-2</v>
      </c>
      <c r="D27" s="3">
        <v>4.8000000000000001E-2</v>
      </c>
      <c r="E27" s="3">
        <v>4.4999999999999998E-2</v>
      </c>
      <c r="F27" s="3">
        <v>4.5999999999999999E-2</v>
      </c>
      <c r="G27" s="3">
        <v>4.5999999999999999E-2</v>
      </c>
      <c r="H27" s="3">
        <v>4.4999999999999998E-2</v>
      </c>
      <c r="I27" s="3">
        <v>4.4999999999999998E-2</v>
      </c>
      <c r="J27" s="3">
        <v>4.7E-2</v>
      </c>
      <c r="K27" s="3">
        <v>4.7E-2</v>
      </c>
      <c r="L27" s="3">
        <v>4.5999999999999999E-2</v>
      </c>
      <c r="M27" s="3">
        <v>4.8000000000000001E-2</v>
      </c>
      <c r="N27" s="4">
        <v>670</v>
      </c>
    </row>
    <row r="29" spans="1:14" x14ac:dyDescent="0.25">
      <c r="E29" s="5">
        <v>0</v>
      </c>
      <c r="F29">
        <f>AVERAGE(E20:G20)</f>
        <v>7.1000000000000008E-2</v>
      </c>
    </row>
    <row r="30" spans="1:14" x14ac:dyDescent="0.25">
      <c r="E30" s="5">
        <v>5</v>
      </c>
      <c r="F30">
        <f t="shared" ref="F30:F35" si="1">AVERAGE(E21:G21)</f>
        <v>0.16900000000000001</v>
      </c>
    </row>
    <row r="31" spans="1:14" x14ac:dyDescent="0.25">
      <c r="E31" s="5">
        <v>12.5</v>
      </c>
      <c r="F31">
        <f t="shared" si="1"/>
        <v>0.22833333333333336</v>
      </c>
    </row>
    <row r="32" spans="1:14" x14ac:dyDescent="0.25">
      <c r="E32" s="5">
        <v>25</v>
      </c>
    </row>
    <row r="33" spans="5:6" x14ac:dyDescent="0.25">
      <c r="E33" s="5">
        <v>50</v>
      </c>
      <c r="F33">
        <f>AVERAGE(F24:G24)</f>
        <v>0.626</v>
      </c>
    </row>
    <row r="34" spans="5:6" x14ac:dyDescent="0.25">
      <c r="E34" s="5">
        <v>100</v>
      </c>
      <c r="F34">
        <f t="shared" si="1"/>
        <v>1.2096666666666667</v>
      </c>
    </row>
    <row r="35" spans="5:6" x14ac:dyDescent="0.25">
      <c r="F35">
        <f t="shared" si="1"/>
        <v>1.2913333333333332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microplate</dc:creator>
  <cp:lastModifiedBy>Blakley, Brenden, D</cp:lastModifiedBy>
  <dcterms:created xsi:type="dcterms:W3CDTF">2025-07-14T15:13:19Z</dcterms:created>
  <dcterms:modified xsi:type="dcterms:W3CDTF">2026-01-29T13:42:29Z</dcterms:modified>
</cp:coreProperties>
</file>