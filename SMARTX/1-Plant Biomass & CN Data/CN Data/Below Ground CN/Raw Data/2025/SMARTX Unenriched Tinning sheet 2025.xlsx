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Biogeochemistry\GCREW\4-SMARTX\1-Data\Routine Data\1-Plant biomass &amp; CN data\CN Data\Below Ground CN\Raw Data\2025\"/>
    </mc:Choice>
  </mc:AlternateContent>
  <xr:revisionPtr revIDLastSave="0" documentId="13_ncr:1_{31535F13-FB51-4BA3-94BA-E8BC6408EA9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025 1M 2of2, 2M, Phrag, SMARTX" sheetId="5" r:id="rId1"/>
    <sheet name="2025 SMARTX 2of2" sheetId="6" r:id="rId2"/>
    <sheet name="Copyable - Data Sheet" sheetId="2" r:id="rId3"/>
    <sheet name="Formula shee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" i="3" l="1"/>
  <c r="BB147" i="3"/>
  <c r="BB146" i="3"/>
  <c r="BB145" i="3"/>
  <c r="BB144" i="3"/>
  <c r="BB143" i="3"/>
  <c r="BB142" i="3"/>
  <c r="BB141" i="3"/>
  <c r="BB140" i="3"/>
  <c r="BB139" i="3"/>
  <c r="BB138" i="3"/>
  <c r="BB137" i="3"/>
  <c r="BB136" i="3"/>
  <c r="BB135" i="3"/>
  <c r="BB134" i="3"/>
  <c r="BB133" i="3"/>
  <c r="BB132" i="3"/>
  <c r="BB131" i="3"/>
  <c r="BB130" i="3"/>
  <c r="BB129" i="3"/>
  <c r="BB128" i="3"/>
  <c r="BB127" i="3"/>
  <c r="BB126" i="3"/>
  <c r="BB125" i="3"/>
  <c r="BB124" i="3"/>
  <c r="BB123" i="3"/>
  <c r="BB122" i="3"/>
  <c r="BB121" i="3"/>
  <c r="BB120" i="3"/>
  <c r="BB119" i="3"/>
  <c r="BB118" i="3"/>
  <c r="BB117" i="3"/>
  <c r="BB116" i="3"/>
  <c r="BB115" i="3"/>
  <c r="BB114" i="3"/>
  <c r="BB113" i="3"/>
  <c r="BB112" i="3"/>
  <c r="BB111" i="3"/>
  <c r="BB110" i="3"/>
  <c r="BB109" i="3"/>
  <c r="BB108" i="3"/>
  <c r="BB107" i="3"/>
  <c r="BB106" i="3"/>
  <c r="BB105" i="3"/>
  <c r="BB104" i="3"/>
  <c r="BB103" i="3"/>
  <c r="BB102" i="3"/>
  <c r="BB101" i="3"/>
  <c r="BB100" i="3"/>
  <c r="BB99" i="3"/>
  <c r="BB98" i="3"/>
  <c r="BB97" i="3"/>
  <c r="BB96" i="3"/>
  <c r="BB95" i="3"/>
  <c r="BB94" i="3"/>
  <c r="BB93" i="3"/>
  <c r="BB92" i="3"/>
  <c r="BB91" i="3"/>
  <c r="BB90" i="3"/>
  <c r="BB89" i="3"/>
  <c r="BB88" i="3"/>
  <c r="BB87" i="3"/>
  <c r="BB86" i="3"/>
  <c r="BB85" i="3"/>
  <c r="BB84" i="3"/>
  <c r="BB83" i="3"/>
  <c r="BB82" i="3"/>
  <c r="BB81" i="3"/>
  <c r="BB80" i="3"/>
  <c r="BB79" i="3"/>
  <c r="BB78" i="3"/>
  <c r="BB77" i="3"/>
  <c r="BB76" i="3"/>
  <c r="BB75" i="3"/>
  <c r="BB74" i="3"/>
  <c r="BB73" i="3"/>
  <c r="BB72" i="3"/>
  <c r="BB71" i="3"/>
  <c r="BB70" i="3"/>
  <c r="BB69" i="3"/>
  <c r="BB68" i="3"/>
  <c r="BB67" i="3"/>
  <c r="BB66" i="3"/>
  <c r="BB65" i="3"/>
  <c r="BB64" i="3"/>
  <c r="BB63" i="3"/>
  <c r="BB62" i="3"/>
  <c r="BB61" i="3"/>
  <c r="BB60" i="3"/>
  <c r="BB59" i="3"/>
  <c r="BB58" i="3"/>
  <c r="BB57" i="3"/>
  <c r="BB56" i="3"/>
  <c r="BB55" i="3"/>
  <c r="BB54" i="3"/>
  <c r="BB53" i="3"/>
  <c r="BB52" i="3"/>
  <c r="BB51" i="3"/>
  <c r="BB50" i="3"/>
  <c r="BB49" i="3"/>
  <c r="BB48" i="3"/>
  <c r="BB47" i="3"/>
  <c r="BB46" i="3"/>
  <c r="BB45" i="3"/>
  <c r="BB44" i="3"/>
  <c r="BB43" i="3"/>
  <c r="BB42" i="3"/>
  <c r="BB41" i="3"/>
  <c r="BB40" i="3"/>
  <c r="BB39" i="3"/>
  <c r="BB38" i="3"/>
  <c r="BB37" i="3"/>
  <c r="BB36" i="3"/>
  <c r="BB35" i="3"/>
  <c r="BB34" i="3"/>
  <c r="BB33" i="3"/>
  <c r="BB32" i="3"/>
  <c r="BB31" i="3"/>
  <c r="BB30" i="3"/>
  <c r="BB29" i="3"/>
  <c r="BB28" i="3"/>
  <c r="BB27" i="3"/>
  <c r="BB26" i="3"/>
  <c r="BB25" i="3"/>
  <c r="BB24" i="3"/>
  <c r="BB23" i="3"/>
  <c r="BB22" i="3"/>
  <c r="BB21" i="3"/>
  <c r="BB20" i="3"/>
  <c r="BB19" i="3"/>
  <c r="BB18" i="3"/>
  <c r="BB17" i="3"/>
  <c r="BB16" i="3"/>
  <c r="BB15" i="3"/>
  <c r="BB14" i="3"/>
  <c r="BB13" i="3"/>
  <c r="BB12" i="3"/>
  <c r="BB11" i="3"/>
  <c r="BB10" i="3"/>
  <c r="BB9" i="3"/>
  <c r="BB8" i="3"/>
  <c r="BB7" i="3"/>
  <c r="BB6" i="3"/>
  <c r="BB5" i="3"/>
  <c r="BB4" i="3"/>
  <c r="AT99" i="3"/>
  <c r="AT98" i="3"/>
  <c r="AT97" i="3"/>
  <c r="AT96" i="3"/>
  <c r="AT95" i="3"/>
  <c r="AT94" i="3"/>
  <c r="AT93" i="3"/>
  <c r="AT92" i="3"/>
  <c r="AT91" i="3"/>
  <c r="AT90" i="3"/>
  <c r="AT89" i="3"/>
  <c r="AT88" i="3"/>
  <c r="AT87" i="3"/>
  <c r="AT86" i="3"/>
  <c r="AT85" i="3"/>
  <c r="AT84" i="3"/>
  <c r="AT83" i="3"/>
  <c r="AT82" i="3"/>
  <c r="AT81" i="3"/>
  <c r="AT80" i="3"/>
  <c r="AT79" i="3"/>
  <c r="AT78" i="3"/>
  <c r="AT77" i="3"/>
  <c r="AT76" i="3"/>
  <c r="AT75" i="3"/>
  <c r="AT74" i="3"/>
  <c r="AT73" i="3"/>
  <c r="AT72" i="3"/>
  <c r="AT71" i="3"/>
  <c r="AT70" i="3"/>
  <c r="AT69" i="3"/>
  <c r="AT68" i="3"/>
  <c r="AT67" i="3"/>
  <c r="AT66" i="3"/>
  <c r="AT65" i="3"/>
  <c r="AT64" i="3"/>
  <c r="AT63" i="3"/>
  <c r="AT62" i="3"/>
  <c r="AT61" i="3"/>
  <c r="AT60" i="3"/>
  <c r="AT59" i="3"/>
  <c r="AT58" i="3"/>
  <c r="AT57" i="3"/>
  <c r="AT56" i="3"/>
  <c r="AT55" i="3"/>
  <c r="AT54" i="3"/>
  <c r="AT53" i="3"/>
  <c r="AT52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7" i="3"/>
  <c r="AT6" i="3"/>
  <c r="AT5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G41" i="3"/>
  <c r="G26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G19" i="3"/>
  <c r="G20" i="3"/>
  <c r="G21" i="3"/>
  <c r="G22" i="3"/>
  <c r="G23" i="3"/>
  <c r="G24" i="3"/>
  <c r="G25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2" i="3"/>
  <c r="G43" i="3"/>
  <c r="G44" i="3"/>
  <c r="G45" i="3"/>
  <c r="G46" i="3"/>
  <c r="G47" i="3"/>
  <c r="G48" i="3"/>
  <c r="G18" i="3"/>
  <c r="G14" i="3"/>
  <c r="G11" i="3"/>
  <c r="G17" i="3"/>
  <c r="G16" i="3"/>
  <c r="G15" i="3"/>
  <c r="G13" i="3"/>
  <c r="G12" i="3"/>
  <c r="G10" i="3"/>
  <c r="G9" i="3"/>
  <c r="G8" i="3"/>
  <c r="G7" i="3"/>
  <c r="G6" i="3"/>
  <c r="G5" i="3"/>
  <c r="G4" i="3"/>
</calcChain>
</file>

<file path=xl/sharedStrings.xml><?xml version="1.0" encoding="utf-8"?>
<sst xmlns="http://schemas.openxmlformats.org/spreadsheetml/2006/main" count="3722" uniqueCount="428">
  <si>
    <t>Stable Isotope Mass Spectrometry Laboratory</t>
  </si>
  <si>
    <t>Museum Conservation Institute</t>
  </si>
  <si>
    <t>Smithsonian Institution</t>
  </si>
  <si>
    <t>4210 Silver Hill Rd. MRC 534</t>
  </si>
  <si>
    <t>Suitland, MD 20746-2863</t>
  </si>
  <si>
    <t>Name:</t>
  </si>
  <si>
    <t>Affliation:</t>
  </si>
  <si>
    <t>Project:</t>
  </si>
  <si>
    <t>Date Submitted:</t>
  </si>
  <si>
    <t>SI_ID</t>
  </si>
  <si>
    <t>Sample (mg)</t>
  </si>
  <si>
    <t>Count</t>
  </si>
  <si>
    <t>Sample identifier</t>
  </si>
  <si>
    <t>Notes, other misc. info</t>
  </si>
  <si>
    <t>blank</t>
  </si>
  <si>
    <t>Keratin/Atropine B/USGS__</t>
  </si>
  <si>
    <t>Tray Loc</t>
  </si>
  <si>
    <t>Tray1-A1</t>
  </si>
  <si>
    <t>Tray1-A2</t>
  </si>
  <si>
    <t>Tray1-A3</t>
  </si>
  <si>
    <t>Tray1-A4</t>
  </si>
  <si>
    <t>Tray1-A5</t>
  </si>
  <si>
    <t>Tray1-A6</t>
  </si>
  <si>
    <t>Tray1-A7</t>
  </si>
  <si>
    <t>Tray1-A8</t>
  </si>
  <si>
    <t>Tray1-A9</t>
  </si>
  <si>
    <t>Tray1-A10</t>
  </si>
  <si>
    <t>Tray1-A11</t>
  </si>
  <si>
    <t>Tray1-A12</t>
  </si>
  <si>
    <t>Tray1-B1</t>
  </si>
  <si>
    <t>Tray1-B2</t>
  </si>
  <si>
    <t>Tray1-B3</t>
  </si>
  <si>
    <t>Tray1-B4</t>
  </si>
  <si>
    <t>Tray1-B5</t>
  </si>
  <si>
    <t>Tray1-B6</t>
  </si>
  <si>
    <t>Tray1-B7</t>
  </si>
  <si>
    <t>Tray1-B8</t>
  </si>
  <si>
    <t>Tray1-B9</t>
  </si>
  <si>
    <t>Tray1-B10</t>
  </si>
  <si>
    <t>Tray1-B11</t>
  </si>
  <si>
    <t>Tray1-B12</t>
  </si>
  <si>
    <t>Tray1-C1</t>
  </si>
  <si>
    <t>Tray1-C2</t>
  </si>
  <si>
    <t>Tray1-C3</t>
  </si>
  <si>
    <t>Tray1-C4</t>
  </si>
  <si>
    <t>Tray1-C5</t>
  </si>
  <si>
    <t>Tray1-C6</t>
  </si>
  <si>
    <t>Tray1-C7</t>
  </si>
  <si>
    <t>Tray1-C8</t>
  </si>
  <si>
    <t>Tray1-C9</t>
  </si>
  <si>
    <t>Tray1-C10</t>
  </si>
  <si>
    <t>Tray1-C11</t>
  </si>
  <si>
    <t>Tray1-C12</t>
  </si>
  <si>
    <t>Tray1-D1</t>
  </si>
  <si>
    <t>Tray1-D2</t>
  </si>
  <si>
    <t>Tray1-D3</t>
  </si>
  <si>
    <t>Tray1-D4</t>
  </si>
  <si>
    <t>Tray1-D5</t>
  </si>
  <si>
    <t>Tray1-D6</t>
  </si>
  <si>
    <t>Tray1-D7</t>
  </si>
  <si>
    <t>Tray1-D8</t>
  </si>
  <si>
    <t>Tray1-D9</t>
  </si>
  <si>
    <t>Tray1-D10</t>
  </si>
  <si>
    <t>Tray1-D11</t>
  </si>
  <si>
    <t>Tray1-D12</t>
  </si>
  <si>
    <t>Tray1-E1</t>
  </si>
  <si>
    <t>Tray1-E2</t>
  </si>
  <si>
    <t>Tray1-E3</t>
  </si>
  <si>
    <t>Tray1-E4</t>
  </si>
  <si>
    <t>Tray1-E5</t>
  </si>
  <si>
    <t>Tray1-E6</t>
  </si>
  <si>
    <t>Tray1-E7</t>
  </si>
  <si>
    <t>Tray1-E8</t>
  </si>
  <si>
    <t>Tray1-E9</t>
  </si>
  <si>
    <t>Tray1-E10</t>
  </si>
  <si>
    <t>Tray1-E11</t>
  </si>
  <si>
    <t>Tray1-E12</t>
  </si>
  <si>
    <t>Tray1-F1</t>
  </si>
  <si>
    <t>Tray1-F2</t>
  </si>
  <si>
    <t>Tray1-F3</t>
  </si>
  <si>
    <t>Tray1-F4</t>
  </si>
  <si>
    <t>Tray1-F5</t>
  </si>
  <si>
    <t>Tray1-F6</t>
  </si>
  <si>
    <t>Tray1-F7</t>
  </si>
  <si>
    <t>Tray1-F8</t>
  </si>
  <si>
    <t>Tray1-F9</t>
  </si>
  <si>
    <t>Tray1-F10</t>
  </si>
  <si>
    <t>Tray1-F11</t>
  </si>
  <si>
    <t>Tray1-F12</t>
  </si>
  <si>
    <t>Tray1-G1</t>
  </si>
  <si>
    <t>Tray1-G2</t>
  </si>
  <si>
    <t>Tray1-G3</t>
  </si>
  <si>
    <t>Tray1-G4</t>
  </si>
  <si>
    <t>Tray1-G5</t>
  </si>
  <si>
    <t>Tray1-G6</t>
  </si>
  <si>
    <t>Tray1-G7</t>
  </si>
  <si>
    <t>Tray1-G8</t>
  </si>
  <si>
    <t>Tray1-G9</t>
  </si>
  <si>
    <t>Tray1-G10</t>
  </si>
  <si>
    <t>Tray1-G11</t>
  </si>
  <si>
    <t>Tray1-G12</t>
  </si>
  <si>
    <t>Tray1-H1</t>
  </si>
  <si>
    <t>Tray1-H2</t>
  </si>
  <si>
    <t>Tray1-H3</t>
  </si>
  <si>
    <t>Tray1-H4</t>
  </si>
  <si>
    <t>Tray1-H5</t>
  </si>
  <si>
    <t>Tray1-H6</t>
  </si>
  <si>
    <t>Tray1-H7</t>
  </si>
  <si>
    <t>Tray1-H8</t>
  </si>
  <si>
    <t>Tray1-H9</t>
  </si>
  <si>
    <t>Tray1-H10</t>
  </si>
  <si>
    <t>Tray1-H11</t>
  </si>
  <si>
    <t>Tray1-H12</t>
  </si>
  <si>
    <t>Tray2-A1</t>
  </si>
  <si>
    <t>Tray2-A2</t>
  </si>
  <si>
    <t>Tray2-A3</t>
  </si>
  <si>
    <t>Tray2-A4</t>
  </si>
  <si>
    <t>Tray2-A5</t>
  </si>
  <si>
    <t>Tray2-A6</t>
  </si>
  <si>
    <t>Tray2-A7</t>
  </si>
  <si>
    <t>Tray2-A8</t>
  </si>
  <si>
    <t>Tray2-A9</t>
  </si>
  <si>
    <t>Tray2-A10</t>
  </si>
  <si>
    <t>Tray2-A11</t>
  </si>
  <si>
    <t>Tray2-A12</t>
  </si>
  <si>
    <t>Tray2-B1</t>
  </si>
  <si>
    <t>Tray2-B2</t>
  </si>
  <si>
    <t>Tray2-B3</t>
  </si>
  <si>
    <t>Tray2-B4</t>
  </si>
  <si>
    <t>Tray2-B5</t>
  </si>
  <si>
    <t>Tray2-B6</t>
  </si>
  <si>
    <t>Tray2-B7</t>
  </si>
  <si>
    <t>Tray2-B8</t>
  </si>
  <si>
    <t>Tray2-B9</t>
  </si>
  <si>
    <t>Tray2-B10</t>
  </si>
  <si>
    <t>Tray2-B11</t>
  </si>
  <si>
    <t>1.SI______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</si>
  <si>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N)</t>
    </r>
  </si>
  <si>
    <t>EA Standby</t>
  </si>
  <si>
    <t>USGS66</t>
  </si>
  <si>
    <t>Acetanilide F</t>
  </si>
  <si>
    <t>10.SI00481</t>
  </si>
  <si>
    <t>9.SI00481</t>
  </si>
  <si>
    <t>8.SI00481</t>
  </si>
  <si>
    <t>1.SI00481</t>
  </si>
  <si>
    <t>7.SI00481</t>
  </si>
  <si>
    <t>6.SI00481</t>
  </si>
  <si>
    <t>5.SI00481</t>
  </si>
  <si>
    <t>4.SI00481</t>
  </si>
  <si>
    <t>3.SI00481</t>
  </si>
  <si>
    <t>2.SI00481</t>
  </si>
  <si>
    <t>1.SI00482</t>
  </si>
  <si>
    <t>2.SI00482</t>
  </si>
  <si>
    <t>3.SI00482</t>
  </si>
  <si>
    <t>4.SI00482</t>
  </si>
  <si>
    <t>5.SI00482</t>
  </si>
  <si>
    <t>6.SI00482</t>
  </si>
  <si>
    <t>7.SI00482</t>
  </si>
  <si>
    <t>8.SI00482</t>
  </si>
  <si>
    <t>9.SI00482</t>
  </si>
  <si>
    <t>2025_</t>
  </si>
  <si>
    <t>BG_</t>
  </si>
  <si>
    <t>Sp_</t>
  </si>
  <si>
    <t>1E_</t>
  </si>
  <si>
    <t>FineRoots</t>
  </si>
  <si>
    <t>C3Rhiz</t>
  </si>
  <si>
    <t>C4Rhiz</t>
  </si>
  <si>
    <t>2A_</t>
  </si>
  <si>
    <t>3C_</t>
  </si>
  <si>
    <t>4E_</t>
  </si>
  <si>
    <t>5A_</t>
  </si>
  <si>
    <t>Year</t>
  </si>
  <si>
    <t>Project</t>
  </si>
  <si>
    <t>Plot</t>
  </si>
  <si>
    <t>Subplot</t>
  </si>
  <si>
    <t>Contents</t>
  </si>
  <si>
    <t>6C_</t>
  </si>
  <si>
    <t>7C_</t>
  </si>
  <si>
    <t>8E_</t>
  </si>
  <si>
    <t>9A_</t>
  </si>
  <si>
    <t>10E_</t>
  </si>
  <si>
    <t>11A_</t>
  </si>
  <si>
    <t>12C_</t>
  </si>
  <si>
    <t>13A_</t>
  </si>
  <si>
    <t>14E_</t>
  </si>
  <si>
    <t>15C_</t>
  </si>
  <si>
    <t>Mx_</t>
  </si>
  <si>
    <t>5C_</t>
  </si>
  <si>
    <t>6A_</t>
  </si>
  <si>
    <t>10C_</t>
  </si>
  <si>
    <t>11E_</t>
  </si>
  <si>
    <t>12A_</t>
  </si>
  <si>
    <t>13E_</t>
  </si>
  <si>
    <t>14C_</t>
  </si>
  <si>
    <t>15A_</t>
  </si>
  <si>
    <t>Sc_</t>
  </si>
  <si>
    <t>4A__</t>
  </si>
  <si>
    <t>6E_</t>
  </si>
  <si>
    <t>8A_</t>
  </si>
  <si>
    <t>9E_</t>
  </si>
  <si>
    <t>11C_</t>
  </si>
  <si>
    <t>13C_</t>
  </si>
  <si>
    <t>2025_BG_Sc_13C_C3Rhiz</t>
  </si>
  <si>
    <t>2025_BG_Sc_14E_FineRoots</t>
  </si>
  <si>
    <t>2025_BG_Sc_14E_C3Rhiz</t>
  </si>
  <si>
    <t>2025_BG_Sc_15A_FineRoots</t>
  </si>
  <si>
    <t>2025_BG_Sc_15A_C3Rhiz</t>
  </si>
  <si>
    <t xml:space="preserve">SERC BioGeoChem </t>
  </si>
  <si>
    <t>2M_</t>
  </si>
  <si>
    <t>PhragRhiz</t>
  </si>
  <si>
    <t>Phrag_</t>
  </si>
  <si>
    <t>Chamber</t>
  </si>
  <si>
    <t>Cores</t>
  </si>
  <si>
    <t>P1_</t>
  </si>
  <si>
    <t>1-3_</t>
  </si>
  <si>
    <t>4-6_</t>
  </si>
  <si>
    <t>P2_</t>
  </si>
  <si>
    <t>P3_</t>
  </si>
  <si>
    <t>P4_</t>
  </si>
  <si>
    <t>P5_</t>
  </si>
  <si>
    <t>P6_</t>
  </si>
  <si>
    <t>P7_</t>
  </si>
  <si>
    <t>P8_</t>
  </si>
  <si>
    <t>P9_</t>
  </si>
  <si>
    <t>P10_</t>
  </si>
  <si>
    <t>P11_</t>
  </si>
  <si>
    <t>P12_</t>
  </si>
  <si>
    <t>Ch1_</t>
  </si>
  <si>
    <t>Ch2_</t>
  </si>
  <si>
    <t>Ch3_</t>
  </si>
  <si>
    <t>Ch4_</t>
  </si>
  <si>
    <t>Ch5_</t>
  </si>
  <si>
    <t>Ch6_</t>
  </si>
  <si>
    <t>Ch7_</t>
  </si>
  <si>
    <t>Ch8_</t>
  </si>
  <si>
    <t>Ch9_</t>
  </si>
  <si>
    <t>Ch10_</t>
  </si>
  <si>
    <t>Ch11_</t>
  </si>
  <si>
    <t>Ch12_</t>
  </si>
  <si>
    <t>Ch13_</t>
  </si>
  <si>
    <t>Ch14_</t>
  </si>
  <si>
    <t>Ch15_</t>
  </si>
  <si>
    <t>Ch16_</t>
  </si>
  <si>
    <t>Ch17_</t>
  </si>
  <si>
    <t>Ch18_</t>
  </si>
  <si>
    <t>Ch19_</t>
  </si>
  <si>
    <t>Ch20_</t>
  </si>
  <si>
    <t>2025_BG_2M_Ch1_FineRoots</t>
  </si>
  <si>
    <t>2025_BG_2M_Ch1_C3Rhiz</t>
  </si>
  <si>
    <t>2025_BG_2M_Ch2_FineRoots</t>
  </si>
  <si>
    <t>2025_BG_2M_Ch3_FineRoots</t>
  </si>
  <si>
    <t>2025_BG_2M_Ch4_FineRoots</t>
  </si>
  <si>
    <t>2025_BG_2M_Ch5_C3Rhiz</t>
  </si>
  <si>
    <t>2025_BG_2M_Ch6_FineRoots</t>
  </si>
  <si>
    <t>2025_BG_2M_Ch7_FineRoots</t>
  </si>
  <si>
    <t>2025_BG_2M_Ch7_C3Rhiz</t>
  </si>
  <si>
    <t>2025_BG_2M_Ch8_FineRoots</t>
  </si>
  <si>
    <t>2025_BG_2M_Ch8_C3Rhiz</t>
  </si>
  <si>
    <t>2025_BG_2M_Ch9_C3Rhiz</t>
  </si>
  <si>
    <t>2025_BG_2M_Ch10_C3Rhiz</t>
  </si>
  <si>
    <t>2025_BG_2M_Ch11_FineRoots</t>
  </si>
  <si>
    <t>2025_BG_2M_Ch12_FineRoots</t>
  </si>
  <si>
    <t>2025_BG_2M_Ch12_C3Rhiz</t>
  </si>
  <si>
    <t>2025_BG_2M_Ch13_FineRoots</t>
  </si>
  <si>
    <t>2025_BG_2M_Ch13_C3Rhiz</t>
  </si>
  <si>
    <t>2025_BG_2M_Ch14_FineRoots</t>
  </si>
  <si>
    <t>2025_BG_2M_Ch14_C3Rhiz</t>
  </si>
  <si>
    <t>2025_BG_2M_Ch15_FineRoots</t>
  </si>
  <si>
    <t>2025_BG_2M_Ch16_FineRoots</t>
  </si>
  <si>
    <t>2025_BG_2M_Ch17_FineRoots</t>
  </si>
  <si>
    <t>2025_BG_2M_Ch19_FineRoots</t>
  </si>
  <si>
    <t>2025_BG_2M_Ch19_C3Rhiz</t>
  </si>
  <si>
    <t>2025_BG_2M_Ch20_FineRoots</t>
  </si>
  <si>
    <t>2025_BG_2M_Ch20_C3Rhiz</t>
  </si>
  <si>
    <t>2025_BG_Phrag_P1_1-3_FineRoots</t>
  </si>
  <si>
    <t>2025_BG_Phrag_P1_1-3_C4Rhiz</t>
  </si>
  <si>
    <t>2025_BG_Phrag_P1_4-6_FineRoots</t>
  </si>
  <si>
    <t>2025_BG_Phrag_P1_4-6_C4Rhiz</t>
  </si>
  <si>
    <t>2025_BG_Phrag_P2_1-3_FineRoots</t>
  </si>
  <si>
    <t>2025_BG_Phrag_P2_4-6_FineRoots</t>
  </si>
  <si>
    <t>2025_BG_Phrag_P3_1-3_FineRoots</t>
  </si>
  <si>
    <t>2025_BG_Phrag_P3_4-6_FineRoots</t>
  </si>
  <si>
    <t>2025_BG_Phrag_P4_1-3_FineRoots</t>
  </si>
  <si>
    <t>2025_BG_Phrag_P4_4-6_FineRoots</t>
  </si>
  <si>
    <t>2025_BG_Phrag_P4_4-6_PhragRhiz</t>
  </si>
  <si>
    <t>2025_BG_Phrag_P5_1-3_FineRoots</t>
  </si>
  <si>
    <t>2025_BG_Phrag_P5_1-3_C4Rhiz</t>
  </si>
  <si>
    <t>2025_BG_Phrag_P5_1-3_PhragRhiz</t>
  </si>
  <si>
    <t>2025_BG_Phrag_P5_4-6_FineRoots</t>
  </si>
  <si>
    <t>2025_BG_Phrag_P5_4-6_PhragRhiz</t>
  </si>
  <si>
    <t>2025_BG_Phrag_P6_1-3_FineRoots</t>
  </si>
  <si>
    <t>2025_BG_Phrag_P6_1-3_PhragRhiz</t>
  </si>
  <si>
    <t>2025_BG_Phrag_P6_4-6_FineRoots</t>
  </si>
  <si>
    <t>2025_BG_Phrag_P6_4-6_PhragRhiz</t>
  </si>
  <si>
    <t>2025_BG_Phrag_P8_4-6_C4Rhiz</t>
  </si>
  <si>
    <t>2025_BG_Phrag_P9_4-6_C4Rhiz</t>
  </si>
  <si>
    <t>2025_BG_Phrag_P7_1-3_FineRoots</t>
  </si>
  <si>
    <t>2025_BG_Phrag_P7_1-3_PhragRhiz</t>
  </si>
  <si>
    <t>2025_BG_Phrag_P7_4-6_FineRoots</t>
  </si>
  <si>
    <t>2025_BG_Phrag_P7_4-6_PhragRhiz</t>
  </si>
  <si>
    <t>2025_BG_Phrag_P8_1-3_FineRoots</t>
  </si>
  <si>
    <t>2025_BG_Phrag_P8_1-3_C4Rhiz</t>
  </si>
  <si>
    <t>2025_BG_Phrag_P8_1-3_PhragRhiz</t>
  </si>
  <si>
    <t>2025_BG_Phrag_P8_4-6_FineRoots</t>
  </si>
  <si>
    <t>2025_BG_Phrag_P8_4-6_PhragRhiz</t>
  </si>
  <si>
    <t>2025_BG_Phrag_P9_1-3_FineRoots</t>
  </si>
  <si>
    <t>2025_BG_Phrag_P9_1-3_C4Rhiz</t>
  </si>
  <si>
    <t>2025_BG_Phrag_P9_1-3_PhragRhiz</t>
  </si>
  <si>
    <t>2025_BG_Phrag_P9_4-6_FineRoots</t>
  </si>
  <si>
    <t>2025_BG_Phrag_P10_1-3_FineRoots</t>
  </si>
  <si>
    <t>2025_BG_Phrag_P10_4-6_FineRoots</t>
  </si>
  <si>
    <t>2025_BG_Phrag_P10_4-6_C3Rhiz</t>
  </si>
  <si>
    <t>2025_BG_Phrag_P11_1-3_FineRoots</t>
  </si>
  <si>
    <t>2025_BG_Phrag_P11_1-3_C3Rhiz</t>
  </si>
  <si>
    <t>2025_BG_Phrag_P11_4-6_FineRoots</t>
  </si>
  <si>
    <t>2025_BG_Phrag_P11_4-6_PhragRhiz</t>
  </si>
  <si>
    <t>2025_BG_Phrag_P12_1-3_FineRoots</t>
  </si>
  <si>
    <t>2025_BG_Phrag_P12_4-6_FineRoots</t>
  </si>
  <si>
    <t>2025_BG_Phrag_P12_1-3_PhragRhiz</t>
  </si>
  <si>
    <t>2025_BG_Phrag_P12_4-6_PhragRhiz</t>
  </si>
  <si>
    <t>SMARTX_</t>
  </si>
  <si>
    <t>440_</t>
  </si>
  <si>
    <t>441_</t>
  </si>
  <si>
    <t>442_</t>
  </si>
  <si>
    <t>443_</t>
  </si>
  <si>
    <t>450_</t>
  </si>
  <si>
    <t>451_</t>
  </si>
  <si>
    <t>452_</t>
  </si>
  <si>
    <t>453_</t>
  </si>
  <si>
    <t>460_</t>
  </si>
  <si>
    <t>461_</t>
  </si>
  <si>
    <t>462_</t>
  </si>
  <si>
    <t>463_</t>
  </si>
  <si>
    <t>OtherRhiz</t>
  </si>
  <si>
    <t>8_</t>
  </si>
  <si>
    <t>310_</t>
  </si>
  <si>
    <t>311_</t>
  </si>
  <si>
    <t>312_</t>
  </si>
  <si>
    <t>313_</t>
  </si>
  <si>
    <t>320_</t>
  </si>
  <si>
    <t>321_</t>
  </si>
  <si>
    <t>322_</t>
  </si>
  <si>
    <t>323_</t>
  </si>
  <si>
    <t>330_</t>
  </si>
  <si>
    <t>331_</t>
  </si>
  <si>
    <t>332_</t>
  </si>
  <si>
    <t>333_</t>
  </si>
  <si>
    <t>610_</t>
  </si>
  <si>
    <t>613_</t>
  </si>
  <si>
    <t>620_</t>
  </si>
  <si>
    <t>623_</t>
  </si>
  <si>
    <t>630_</t>
  </si>
  <si>
    <t>633_</t>
  </si>
  <si>
    <t>2025_BG_SMARTX_440_4-6_FineRoots</t>
  </si>
  <si>
    <t>2025_BG_SMARTX_440_4-6_C4Rhiz</t>
  </si>
  <si>
    <t>2025_BG_SMARTX_441_4-6_FineRoots</t>
  </si>
  <si>
    <t>2025_BG_SMARTX_441_4-6_C3Rhiz</t>
  </si>
  <si>
    <t>2025_BG_SMARTX_442_4-6_FineRoots</t>
  </si>
  <si>
    <t>2025_BG_SMARTX_442_4-6_C3Rhiz</t>
  </si>
  <si>
    <t>2025_BG_SMARTX_443_4-6_FineRoots</t>
  </si>
  <si>
    <t>2025_BG_SMARTX_443_4-6_C3Rhiz</t>
  </si>
  <si>
    <t>2025_BG_SMARTX_450_4-6_FineRoots</t>
  </si>
  <si>
    <t>2025_BG_SMARTX_450_4-6_C4Rhiz</t>
  </si>
  <si>
    <t>2025_BG_SMARTX_451_4-6_FineRoots</t>
  </si>
  <si>
    <t>2025_BG_SMARTX_451_4-6_C3Rhiz</t>
  </si>
  <si>
    <t>2025_BG_SMARTX_451_4-6_C4Rhiz</t>
  </si>
  <si>
    <t>2025_BG_SMARTX_452_4-6_FineRoots</t>
  </si>
  <si>
    <t>2025_BG_SMARTX_452_4-6_C3Rhiz</t>
  </si>
  <si>
    <t>2025_BG_SMARTX_452_4-6_C4Rhiz</t>
  </si>
  <si>
    <t>2025_BG_SMARTX_453_4-6_FineRoots</t>
  </si>
  <si>
    <t>2025_BG_SMARTX_453_4-6_C3Rhiz</t>
  </si>
  <si>
    <t>2025_BG_SMARTX_453_4-6_C4Rhiz</t>
  </si>
  <si>
    <t>2025_BG_SMARTX_460_4-6_FineRoots</t>
  </si>
  <si>
    <t>2025_BG_SMARTX_460_4-6_C4Rhiz</t>
  </si>
  <si>
    <t>2025_BG_SMARTX_461_4-6_FineRoots</t>
  </si>
  <si>
    <t>2025_BG_SMARTX_461_4-6_C3Rhiz</t>
  </si>
  <si>
    <t>2025_BG_SMARTX_461_4-6_C4Rhiz</t>
  </si>
  <si>
    <t>2025_BG_SMARTX_462_4-6_FineRoots</t>
  </si>
  <si>
    <t>2025_BG_SMARTX_462_4-6_C3Rhiz</t>
  </si>
  <si>
    <t>2025_BG_SMARTX_462_4-6_C4Rhiz</t>
  </si>
  <si>
    <t>2025_BG_SMARTX_463_4-6_FineRoots</t>
  </si>
  <si>
    <t>2025_BG_SMARTX_463_4-6_C3Rhiz</t>
  </si>
  <si>
    <t>2025_BG_SMARTX_463_4-6_C4Rhiz</t>
  </si>
  <si>
    <t>2025 CO2 x Community Below Ground; 2025 CO2xN Below Ground; 2025 PhragxCO2xN Below Ground; 2025 SMARTX Unenriched Below Ground</t>
  </si>
  <si>
    <t>2025 SMARTX Unenriched Below Ground</t>
  </si>
  <si>
    <t>2025_BG_SMARTX_610_4-6_FineRoots</t>
  </si>
  <si>
    <t>2025_BG_SMARTX_310_4-6_FineRoots</t>
  </si>
  <si>
    <t>2025_BG_SMARTX_310_4-6_C3Rhiz</t>
  </si>
  <si>
    <t>2025_BG_SMARTX_311_4-6_FineRoots</t>
  </si>
  <si>
    <t>2025_BG_SMARTX_311_4-6_C3Rhiz</t>
  </si>
  <si>
    <t>2025_BG_SMARTX_312_4-6_FineRoots</t>
  </si>
  <si>
    <t>2025_BG_SMARTX_313_4-6_FineRoots</t>
  </si>
  <si>
    <t>2025_BG_SMARTX_313_4-6_C3Rhiz</t>
  </si>
  <si>
    <t>2025_BG_SMARTX_313_4-6_C4Rhiz</t>
  </si>
  <si>
    <t>2025_BG_SMARTX_613_4-6_FineRoots</t>
  </si>
  <si>
    <t>2025_BG_SMARTX_613_4-6_C3Rhiz</t>
  </si>
  <si>
    <t>2025_BG_SMARTX_620_4-6_FineRoots</t>
  </si>
  <si>
    <t>2025_BG_SMARTX_320_4-6_FineRoots</t>
  </si>
  <si>
    <t>2025_BG_SMARTX_320_4-6_C3Rhiz</t>
  </si>
  <si>
    <t>2025_BG_SMARTX_321_4-6_FineRoots</t>
  </si>
  <si>
    <t>2025_BG_SMARTX_321_4-6_C3Rhiz</t>
  </si>
  <si>
    <t>2025_BG_SMARTX_322_4-6_FineRoots</t>
  </si>
  <si>
    <t>2025_BG_SMARTX_322_4-6_C3Rhiz</t>
  </si>
  <si>
    <t>2025_BG_SMARTX_323_4-6_FineRoots</t>
  </si>
  <si>
    <t>2025_BG_SMARTX_623_4-6_FineRoots</t>
  </si>
  <si>
    <t>2025_BG_SMARTX_630_4-6_FineRoots</t>
  </si>
  <si>
    <t>2025_BG_SMARTX_630_4-6_C3Rhiz</t>
  </si>
  <si>
    <t>2025_BG_SMARTX_330_4-6_FineRoots</t>
  </si>
  <si>
    <t>2025_BG_SMARTX_331_4-6_FineRoots</t>
  </si>
  <si>
    <t>2025_BG_SMARTX_331_4-6_C3Rhiz</t>
  </si>
  <si>
    <t>2025_BG_SMARTX_332_4-6_FineRoots</t>
  </si>
  <si>
    <t>2025_BG_SMARTX_332_4-6_C3Rhiz</t>
  </si>
  <si>
    <t>2025_BG_SMARTX_623_4-6_C3Rhiz</t>
  </si>
  <si>
    <t>ZR1_soil</t>
  </si>
  <si>
    <t>ZR2_soil</t>
  </si>
  <si>
    <t>ZR3_soil</t>
  </si>
  <si>
    <t>ZR4_soil</t>
  </si>
  <si>
    <t>ZR5_soil</t>
  </si>
  <si>
    <t>ZR6_soil</t>
  </si>
  <si>
    <t>ZR7_soil</t>
  </si>
  <si>
    <t>ZR8_soil</t>
  </si>
  <si>
    <t>ZR9_soil</t>
  </si>
  <si>
    <t>ZR10_soil</t>
  </si>
  <si>
    <t>ZR11_soil</t>
  </si>
  <si>
    <t>ZR12_soil</t>
  </si>
  <si>
    <t>ZR13_soil</t>
  </si>
  <si>
    <t>ZR14_soil</t>
  </si>
  <si>
    <t>COMPASS unenriched samples.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</si>
</sst>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/>
    <xf numFmtId="0" fontId="0" fillId="0" borderId="0" xfId="0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10" xfId="0" applyBorder="1"/>
    <xf numFmtId="0" fontId="0" fillId="0" borderId="4" xfId="0" applyBorder="1" applyAlignment="1">
      <alignment horizontal="left"/>
    </xf>
    <xf numFmtId="0" fontId="0" fillId="0" borderId="11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12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left" indent="1"/>
    </xf>
    <xf numFmtId="165" fontId="1" fillId="2" borderId="1" xfId="0" applyNumberFormat="1" applyFont="1" applyFill="1" applyBorder="1" applyAlignment="1">
      <alignment horizontal="center"/>
    </xf>
    <xf numFmtId="165" fontId="0" fillId="0" borderId="1" xfId="0" applyNumberFormat="1" applyFill="1" applyBorder="1" applyAlignment="1">
      <alignment horizontal="left" indent="1"/>
    </xf>
    <xf numFmtId="0" fontId="4" fillId="0" borderId="7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0" fontId="5" fillId="0" borderId="12" xfId="0" applyFont="1" applyBorder="1"/>
    <xf numFmtId="0" fontId="1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0" fillId="4" borderId="0" xfId="0" applyFill="1" applyBorder="1"/>
    <xf numFmtId="0" fontId="0" fillId="2" borderId="0" xfId="0" applyFill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left" indent="1"/>
    </xf>
    <xf numFmtId="164" fontId="0" fillId="0" borderId="1" xfId="0" applyNumberFormat="1" applyFill="1" applyBorder="1" applyAlignment="1">
      <alignment horizontal="left" indent="1"/>
    </xf>
    <xf numFmtId="164" fontId="0" fillId="0" borderId="2" xfId="0" applyNumberFormat="1" applyBorder="1" applyAlignment="1">
      <alignment horizontal="left"/>
    </xf>
    <xf numFmtId="164" fontId="0" fillId="0" borderId="4" xfId="0" applyNumberFormat="1" applyBorder="1" applyAlignment="1">
      <alignment horizontal="left"/>
    </xf>
    <xf numFmtId="164" fontId="0" fillId="0" borderId="4" xfId="0" applyNumberFormat="1" applyBorder="1"/>
    <xf numFmtId="164" fontId="0" fillId="0" borderId="5" xfId="0" applyNumberFormat="1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0" borderId="0" xfId="0" applyNumberFormat="1" applyBorder="1" applyAlignment="1">
      <alignment horizontal="left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/>
    </xf>
    <xf numFmtId="164" fontId="0" fillId="2" borderId="1" xfId="0" applyNumberFormat="1" applyFill="1" applyBorder="1"/>
    <xf numFmtId="164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CA49-1AD6-4F7E-B283-520CD2DA2643}">
  <dimension ref="A1:F129"/>
  <sheetViews>
    <sheetView topLeftCell="A104" zoomScale="90" zoomScaleNormal="90" workbookViewId="0">
      <selection activeCell="E114" sqref="E114"/>
    </sheetView>
  </sheetViews>
  <sheetFormatPr defaultRowHeight="12.75" x14ac:dyDescent="0.2"/>
  <cols>
    <col min="1" max="1" width="6.42578125" customWidth="1"/>
    <col min="2" max="2" width="9.42578125" customWidth="1"/>
    <col min="3" max="3" width="14.7109375" customWidth="1"/>
    <col min="4" max="4" width="37.140625" style="38" customWidth="1"/>
    <col min="5" max="5" width="18.85546875" customWidth="1"/>
    <col min="6" max="6" width="30.85546875" customWidth="1"/>
  </cols>
  <sheetData>
    <row r="1" spans="1:6" ht="12.75" customHeight="1" x14ac:dyDescent="0.2">
      <c r="A1" s="5" t="s">
        <v>0</v>
      </c>
      <c r="B1" s="6"/>
      <c r="C1" s="6"/>
      <c r="D1" s="33"/>
      <c r="E1" s="16" t="s">
        <v>8</v>
      </c>
      <c r="F1" s="17"/>
    </row>
    <row r="2" spans="1:6" ht="12.75" customHeight="1" x14ac:dyDescent="0.2">
      <c r="A2" s="7" t="s">
        <v>1</v>
      </c>
      <c r="B2" s="8"/>
      <c r="C2" s="8"/>
      <c r="D2" s="34"/>
      <c r="E2" s="18" t="s">
        <v>5</v>
      </c>
      <c r="F2" s="19"/>
    </row>
    <row r="3" spans="1:6" ht="12.75" customHeight="1" x14ac:dyDescent="0.2">
      <c r="A3" s="7" t="s">
        <v>2</v>
      </c>
      <c r="B3" s="8"/>
      <c r="C3" s="8"/>
      <c r="D3" s="34"/>
      <c r="E3" s="18" t="s">
        <v>6</v>
      </c>
      <c r="F3" s="19" t="s">
        <v>207</v>
      </c>
    </row>
    <row r="4" spans="1:6" ht="12.75" customHeight="1" x14ac:dyDescent="0.2">
      <c r="A4" s="7" t="s">
        <v>3</v>
      </c>
      <c r="B4" s="8"/>
      <c r="C4" s="8"/>
      <c r="D4" s="34"/>
      <c r="E4" s="20"/>
      <c r="F4" s="19"/>
    </row>
    <row r="5" spans="1:6" ht="12.75" customHeight="1" x14ac:dyDescent="0.2">
      <c r="A5" s="9" t="s">
        <v>4</v>
      </c>
      <c r="B5" s="10"/>
      <c r="C5" s="10"/>
      <c r="D5" s="35"/>
      <c r="E5" s="21" t="s">
        <v>7</v>
      </c>
      <c r="F5" s="49" t="s">
        <v>383</v>
      </c>
    </row>
    <row r="6" spans="1:6" ht="12.75" customHeight="1" x14ac:dyDescent="0.2">
      <c r="A6" s="31" t="s">
        <v>137</v>
      </c>
      <c r="B6" s="11"/>
      <c r="C6" s="11"/>
      <c r="D6" s="36"/>
      <c r="E6" s="11"/>
      <c r="F6" s="12"/>
    </row>
    <row r="7" spans="1:6" ht="12.75" customHeight="1" x14ac:dyDescent="0.2">
      <c r="A7" s="2"/>
      <c r="B7" s="2"/>
      <c r="C7" s="2"/>
      <c r="D7" s="37"/>
      <c r="E7" s="2"/>
      <c r="F7" s="2"/>
    </row>
    <row r="8" spans="1:6" ht="12.75" customHeight="1" x14ac:dyDescent="0.2"/>
    <row r="9" spans="1:6" ht="20.100000000000001" customHeight="1" x14ac:dyDescent="0.2">
      <c r="A9" s="3" t="s">
        <v>11</v>
      </c>
      <c r="B9" s="3" t="s">
        <v>16</v>
      </c>
      <c r="C9" s="4" t="s">
        <v>9</v>
      </c>
      <c r="D9" s="4" t="s">
        <v>12</v>
      </c>
      <c r="E9" s="4" t="s">
        <v>10</v>
      </c>
      <c r="F9" s="4" t="s">
        <v>13</v>
      </c>
    </row>
    <row r="10" spans="1:6" ht="20.100000000000001" customHeight="1" x14ac:dyDescent="0.2">
      <c r="A10" s="23">
        <v>1</v>
      </c>
      <c r="B10" s="23" t="s">
        <v>17</v>
      </c>
      <c r="C10" s="24" t="s">
        <v>144</v>
      </c>
      <c r="D10" s="24" t="s">
        <v>140</v>
      </c>
      <c r="E10" s="28"/>
      <c r="F10" s="25"/>
    </row>
    <row r="11" spans="1:6" ht="20.100000000000001" customHeight="1" x14ac:dyDescent="0.2">
      <c r="A11" s="23">
        <v>2</v>
      </c>
      <c r="B11" s="23" t="s">
        <v>18</v>
      </c>
      <c r="C11" s="26"/>
      <c r="D11" s="24" t="s">
        <v>14</v>
      </c>
      <c r="E11" s="29">
        <v>1E-4</v>
      </c>
      <c r="F11" s="27"/>
    </row>
    <row r="12" spans="1:6" ht="20.100000000000001" customHeight="1" x14ac:dyDescent="0.2">
      <c r="A12" s="1">
        <v>3</v>
      </c>
      <c r="B12" s="14" t="s">
        <v>19</v>
      </c>
      <c r="C12" s="13" t="s">
        <v>150</v>
      </c>
      <c r="D12" s="13" t="s">
        <v>140</v>
      </c>
      <c r="E12" s="30"/>
      <c r="F12" s="15"/>
    </row>
    <row r="13" spans="1:6" ht="20.100000000000001" customHeight="1" x14ac:dyDescent="0.2">
      <c r="A13" s="1">
        <v>4</v>
      </c>
      <c r="B13" s="14" t="s">
        <v>20</v>
      </c>
      <c r="C13" s="13" t="s">
        <v>151</v>
      </c>
      <c r="D13" s="13" t="s">
        <v>139</v>
      </c>
      <c r="E13" s="30"/>
      <c r="F13" s="15"/>
    </row>
    <row r="14" spans="1:6" ht="20.100000000000001" customHeight="1" x14ac:dyDescent="0.2">
      <c r="A14" s="23">
        <v>5</v>
      </c>
      <c r="B14" s="23" t="s">
        <v>21</v>
      </c>
      <c r="C14" s="24"/>
      <c r="D14" s="32" t="s">
        <v>202</v>
      </c>
      <c r="E14" s="47">
        <v>12.808999999999999</v>
      </c>
      <c r="F14" s="25"/>
    </row>
    <row r="15" spans="1:6" ht="20.100000000000001" customHeight="1" x14ac:dyDescent="0.2">
      <c r="A15" s="23">
        <v>6</v>
      </c>
      <c r="B15" s="23" t="s">
        <v>22</v>
      </c>
      <c r="C15" s="23"/>
      <c r="D15" s="32" t="s">
        <v>203</v>
      </c>
      <c r="E15" s="47">
        <v>12.911</v>
      </c>
      <c r="F15" s="25"/>
    </row>
    <row r="16" spans="1:6" ht="20.100000000000001" customHeight="1" x14ac:dyDescent="0.2">
      <c r="A16" s="1">
        <v>7</v>
      </c>
      <c r="B16" s="14" t="s">
        <v>23</v>
      </c>
      <c r="C16" s="14"/>
      <c r="D16" s="39" t="s">
        <v>204</v>
      </c>
      <c r="E16" s="48">
        <v>12.801</v>
      </c>
      <c r="F16" s="15"/>
    </row>
    <row r="17" spans="1:6" ht="20.100000000000001" customHeight="1" x14ac:dyDescent="0.2">
      <c r="A17" s="1">
        <v>8</v>
      </c>
      <c r="B17" s="14" t="s">
        <v>24</v>
      </c>
      <c r="C17" s="14"/>
      <c r="D17" s="39" t="s">
        <v>205</v>
      </c>
      <c r="E17" s="48">
        <v>12.922000000000001</v>
      </c>
      <c r="F17" s="15"/>
    </row>
    <row r="18" spans="1:6" ht="20.100000000000001" customHeight="1" x14ac:dyDescent="0.2">
      <c r="A18" s="23">
        <v>9</v>
      </c>
      <c r="B18" s="23" t="s">
        <v>25</v>
      </c>
      <c r="C18" s="23"/>
      <c r="D18" s="32" t="s">
        <v>206</v>
      </c>
      <c r="E18" s="47">
        <v>12.92</v>
      </c>
      <c r="F18" s="25"/>
    </row>
    <row r="19" spans="1:6" ht="20.100000000000001" customHeight="1" x14ac:dyDescent="0.2">
      <c r="A19" s="23">
        <v>10</v>
      </c>
      <c r="B19" s="23" t="s">
        <v>26</v>
      </c>
      <c r="C19" s="23"/>
      <c r="D19" s="32" t="s">
        <v>247</v>
      </c>
      <c r="E19" s="47">
        <v>12.448</v>
      </c>
      <c r="F19" s="25"/>
    </row>
    <row r="20" spans="1:6" ht="20.100000000000001" customHeight="1" x14ac:dyDescent="0.2">
      <c r="A20" s="1">
        <v>11</v>
      </c>
      <c r="B20" s="14" t="s">
        <v>27</v>
      </c>
      <c r="C20" s="14"/>
      <c r="D20" s="39" t="s">
        <v>248</v>
      </c>
      <c r="E20" s="48">
        <v>12.113</v>
      </c>
      <c r="F20" s="15"/>
    </row>
    <row r="21" spans="1:6" ht="20.100000000000001" customHeight="1" x14ac:dyDescent="0.2">
      <c r="A21" s="1">
        <v>12</v>
      </c>
      <c r="B21" s="14" t="s">
        <v>28</v>
      </c>
      <c r="C21" s="14"/>
      <c r="D21" s="39" t="s">
        <v>249</v>
      </c>
      <c r="E21" s="48">
        <v>12.358000000000001</v>
      </c>
      <c r="F21" s="15"/>
    </row>
    <row r="22" spans="1:6" ht="20.100000000000001" customHeight="1" x14ac:dyDescent="0.2">
      <c r="A22" s="23">
        <v>13</v>
      </c>
      <c r="B22" s="23" t="s">
        <v>29</v>
      </c>
      <c r="C22" s="23"/>
      <c r="D22" s="32" t="s">
        <v>250</v>
      </c>
      <c r="E22" s="47">
        <v>12.55</v>
      </c>
      <c r="F22" s="25"/>
    </row>
    <row r="23" spans="1:6" ht="20.100000000000001" customHeight="1" x14ac:dyDescent="0.2">
      <c r="A23" s="23">
        <v>14</v>
      </c>
      <c r="B23" s="23" t="s">
        <v>30</v>
      </c>
      <c r="C23" s="23"/>
      <c r="D23" s="32" t="s">
        <v>251</v>
      </c>
      <c r="E23" s="47">
        <v>12.491</v>
      </c>
      <c r="F23" s="25"/>
    </row>
    <row r="24" spans="1:6" ht="20.100000000000001" customHeight="1" x14ac:dyDescent="0.2">
      <c r="A24" s="1">
        <v>15</v>
      </c>
      <c r="B24" s="14" t="s">
        <v>31</v>
      </c>
      <c r="C24" s="14"/>
      <c r="D24" s="40" t="s">
        <v>252</v>
      </c>
      <c r="E24" s="48">
        <v>12.523</v>
      </c>
      <c r="F24" s="15"/>
    </row>
    <row r="25" spans="1:6" ht="20.100000000000001" customHeight="1" x14ac:dyDescent="0.2">
      <c r="A25" s="1">
        <v>16</v>
      </c>
      <c r="B25" s="14" t="s">
        <v>32</v>
      </c>
      <c r="C25" s="14"/>
      <c r="D25" s="40" t="s">
        <v>253</v>
      </c>
      <c r="E25" s="48">
        <v>12.714</v>
      </c>
      <c r="F25" s="15"/>
    </row>
    <row r="26" spans="1:6" ht="20.100000000000001" customHeight="1" x14ac:dyDescent="0.2">
      <c r="A26" s="23">
        <v>17</v>
      </c>
      <c r="B26" s="23" t="s">
        <v>33</v>
      </c>
      <c r="C26" s="24" t="s">
        <v>149</v>
      </c>
      <c r="D26" s="24" t="s">
        <v>140</v>
      </c>
      <c r="E26" s="47"/>
      <c r="F26" s="25"/>
    </row>
    <row r="27" spans="1:6" ht="20.100000000000001" customHeight="1" x14ac:dyDescent="0.2">
      <c r="A27" s="23">
        <v>18</v>
      </c>
      <c r="B27" s="23" t="s">
        <v>34</v>
      </c>
      <c r="C27" s="24" t="s">
        <v>152</v>
      </c>
      <c r="D27" s="24" t="s">
        <v>139</v>
      </c>
      <c r="E27" s="47"/>
      <c r="F27" s="25"/>
    </row>
    <row r="28" spans="1:6" ht="20.100000000000001" customHeight="1" x14ac:dyDescent="0.2">
      <c r="A28" s="1">
        <v>19</v>
      </c>
      <c r="B28" s="14" t="s">
        <v>35</v>
      </c>
      <c r="C28" s="1"/>
      <c r="D28" s="38" t="s">
        <v>254</v>
      </c>
      <c r="E28" s="48">
        <v>12.773</v>
      </c>
      <c r="F28" s="15"/>
    </row>
    <row r="29" spans="1:6" ht="20.100000000000001" customHeight="1" x14ac:dyDescent="0.2">
      <c r="A29" s="1">
        <v>20</v>
      </c>
      <c r="B29" s="14" t="s">
        <v>36</v>
      </c>
      <c r="C29" s="13"/>
      <c r="D29" s="39" t="s">
        <v>255</v>
      </c>
      <c r="E29" s="48">
        <v>12.847</v>
      </c>
      <c r="F29" s="15"/>
    </row>
    <row r="30" spans="1:6" ht="20.100000000000001" customHeight="1" x14ac:dyDescent="0.2">
      <c r="A30" s="23">
        <v>21</v>
      </c>
      <c r="B30" s="23" t="s">
        <v>37</v>
      </c>
      <c r="C30" s="23"/>
      <c r="D30" s="32" t="s">
        <v>256</v>
      </c>
      <c r="E30" s="47">
        <v>12.554</v>
      </c>
      <c r="F30" s="25"/>
    </row>
    <row r="31" spans="1:6" ht="20.100000000000001" customHeight="1" x14ac:dyDescent="0.2">
      <c r="A31" s="23">
        <v>22</v>
      </c>
      <c r="B31" s="23" t="s">
        <v>38</v>
      </c>
      <c r="C31" s="23"/>
      <c r="D31" s="32" t="s">
        <v>257</v>
      </c>
      <c r="E31" s="47">
        <v>12.744999999999999</v>
      </c>
      <c r="F31" s="25"/>
    </row>
    <row r="32" spans="1:6" ht="20.100000000000001" customHeight="1" x14ac:dyDescent="0.2">
      <c r="A32" s="1">
        <v>23</v>
      </c>
      <c r="B32" s="14" t="s">
        <v>39</v>
      </c>
      <c r="C32" s="14"/>
      <c r="D32" s="39" t="s">
        <v>258</v>
      </c>
      <c r="E32" s="48">
        <v>12.645</v>
      </c>
      <c r="F32" s="15"/>
    </row>
    <row r="33" spans="1:6" ht="20.100000000000001" customHeight="1" x14ac:dyDescent="0.2">
      <c r="A33" s="1">
        <v>24</v>
      </c>
      <c r="B33" s="14" t="s">
        <v>40</v>
      </c>
      <c r="C33" s="14"/>
      <c r="D33" s="39" t="s">
        <v>259</v>
      </c>
      <c r="E33" s="48">
        <v>12.920999999999999</v>
      </c>
      <c r="F33" s="15"/>
    </row>
    <row r="34" spans="1:6" ht="20.100000000000001" customHeight="1" x14ac:dyDescent="0.2">
      <c r="A34" s="23">
        <v>25</v>
      </c>
      <c r="B34" s="23" t="s">
        <v>41</v>
      </c>
      <c r="C34" s="23"/>
      <c r="D34" s="32" t="s">
        <v>260</v>
      </c>
      <c r="E34" s="47">
        <v>12.223000000000001</v>
      </c>
      <c r="F34" s="25"/>
    </row>
    <row r="35" spans="1:6" ht="20.100000000000001" customHeight="1" x14ac:dyDescent="0.2">
      <c r="A35" s="23">
        <v>26</v>
      </c>
      <c r="B35" s="23" t="s">
        <v>42</v>
      </c>
      <c r="C35" s="23"/>
      <c r="D35" s="32" t="s">
        <v>261</v>
      </c>
      <c r="E35" s="47">
        <v>12.87</v>
      </c>
      <c r="F35" s="25"/>
    </row>
    <row r="36" spans="1:6" ht="20.100000000000001" customHeight="1" x14ac:dyDescent="0.2">
      <c r="A36" s="1">
        <v>27</v>
      </c>
      <c r="B36" s="14" t="s">
        <v>43</v>
      </c>
      <c r="C36" s="14"/>
      <c r="D36" s="40" t="s">
        <v>262</v>
      </c>
      <c r="E36" s="48">
        <v>12.395</v>
      </c>
      <c r="F36" s="15"/>
    </row>
    <row r="37" spans="1:6" ht="20.100000000000001" customHeight="1" x14ac:dyDescent="0.2">
      <c r="A37" s="1">
        <v>28</v>
      </c>
      <c r="B37" s="14" t="s">
        <v>44</v>
      </c>
      <c r="C37" s="14"/>
      <c r="D37" s="40" t="s">
        <v>263</v>
      </c>
      <c r="E37" s="48">
        <v>12.609</v>
      </c>
      <c r="F37" s="15"/>
    </row>
    <row r="38" spans="1:6" ht="20.100000000000001" customHeight="1" x14ac:dyDescent="0.2">
      <c r="A38" s="23">
        <v>29</v>
      </c>
      <c r="B38" s="23" t="s">
        <v>45</v>
      </c>
      <c r="C38" s="23"/>
      <c r="D38" s="32" t="s">
        <v>264</v>
      </c>
      <c r="E38" s="47">
        <v>12.768000000000001</v>
      </c>
      <c r="F38" s="25"/>
    </row>
    <row r="39" spans="1:6" ht="20.100000000000001" customHeight="1" x14ac:dyDescent="0.2">
      <c r="A39" s="23">
        <v>30</v>
      </c>
      <c r="B39" s="23" t="s">
        <v>46</v>
      </c>
      <c r="C39" s="23"/>
      <c r="D39" s="32" t="s">
        <v>265</v>
      </c>
      <c r="E39" s="47">
        <v>12.035</v>
      </c>
      <c r="F39" s="25"/>
    </row>
    <row r="40" spans="1:6" ht="20.100000000000001" customHeight="1" x14ac:dyDescent="0.2">
      <c r="A40" s="14">
        <v>31</v>
      </c>
      <c r="B40" s="14" t="s">
        <v>47</v>
      </c>
      <c r="C40" s="13" t="s">
        <v>148</v>
      </c>
      <c r="D40" s="13" t="s">
        <v>140</v>
      </c>
      <c r="E40" s="48"/>
      <c r="F40" s="15"/>
    </row>
    <row r="41" spans="1:6" ht="20.100000000000001" customHeight="1" x14ac:dyDescent="0.2">
      <c r="A41" s="14">
        <v>32</v>
      </c>
      <c r="B41" s="14" t="s">
        <v>48</v>
      </c>
      <c r="C41" s="13" t="s">
        <v>153</v>
      </c>
      <c r="D41" s="13" t="s">
        <v>139</v>
      </c>
      <c r="E41" s="48"/>
      <c r="F41" s="15"/>
    </row>
    <row r="42" spans="1:6" ht="20.100000000000001" customHeight="1" x14ac:dyDescent="0.2">
      <c r="A42" s="23">
        <v>33</v>
      </c>
      <c r="B42" s="23" t="s">
        <v>49</v>
      </c>
      <c r="C42" s="24"/>
      <c r="D42" s="56" t="s">
        <v>266</v>
      </c>
      <c r="E42" s="47">
        <v>12.448</v>
      </c>
      <c r="F42" s="25"/>
    </row>
    <row r="43" spans="1:6" ht="20.100000000000001" customHeight="1" x14ac:dyDescent="0.2">
      <c r="A43" s="23">
        <v>34</v>
      </c>
      <c r="B43" s="23" t="s">
        <v>50</v>
      </c>
      <c r="C43" s="24"/>
      <c r="D43" s="32" t="s">
        <v>267</v>
      </c>
      <c r="E43" s="47">
        <v>12.547000000000001</v>
      </c>
      <c r="F43" s="25"/>
    </row>
    <row r="44" spans="1:6" ht="20.100000000000001" customHeight="1" x14ac:dyDescent="0.2">
      <c r="A44" s="1">
        <v>35</v>
      </c>
      <c r="B44" s="14" t="s">
        <v>51</v>
      </c>
      <c r="C44" s="13"/>
      <c r="D44" s="39" t="s">
        <v>268</v>
      </c>
      <c r="E44" s="48">
        <v>12.763999999999999</v>
      </c>
      <c r="F44" s="15"/>
    </row>
    <row r="45" spans="1:6" ht="20.100000000000001" customHeight="1" x14ac:dyDescent="0.2">
      <c r="A45" s="1">
        <v>36</v>
      </c>
      <c r="B45" s="14" t="s">
        <v>52</v>
      </c>
      <c r="C45" s="14"/>
      <c r="D45" s="39" t="s">
        <v>269</v>
      </c>
      <c r="E45" s="48">
        <v>12.694000000000001</v>
      </c>
      <c r="F45" s="15"/>
    </row>
    <row r="46" spans="1:6" ht="20.100000000000001" customHeight="1" x14ac:dyDescent="0.2">
      <c r="A46" s="23">
        <v>37</v>
      </c>
      <c r="B46" s="23" t="s">
        <v>53</v>
      </c>
      <c r="C46" s="23"/>
      <c r="D46" s="32" t="s">
        <v>270</v>
      </c>
      <c r="E46" s="47">
        <v>12.183</v>
      </c>
      <c r="F46" s="25"/>
    </row>
    <row r="47" spans="1:6" ht="20.100000000000001" customHeight="1" x14ac:dyDescent="0.2">
      <c r="A47" s="23">
        <v>38</v>
      </c>
      <c r="B47" s="23" t="s">
        <v>54</v>
      </c>
      <c r="C47" s="23"/>
      <c r="D47" s="32" t="s">
        <v>271</v>
      </c>
      <c r="E47" s="47">
        <v>12.656000000000001</v>
      </c>
      <c r="F47" s="25"/>
    </row>
    <row r="48" spans="1:6" ht="20.100000000000001" customHeight="1" x14ac:dyDescent="0.2">
      <c r="A48" s="1">
        <v>39</v>
      </c>
      <c r="B48" s="14" t="s">
        <v>55</v>
      </c>
      <c r="C48" s="14"/>
      <c r="D48" s="40" t="s">
        <v>272</v>
      </c>
      <c r="E48" s="48">
        <v>12.840999999999999</v>
      </c>
      <c r="F48" s="15"/>
    </row>
    <row r="49" spans="1:6" ht="20.100000000000001" customHeight="1" x14ac:dyDescent="0.2">
      <c r="A49" s="1">
        <v>40</v>
      </c>
      <c r="B49" s="14" t="s">
        <v>56</v>
      </c>
      <c r="C49" s="14"/>
      <c r="D49" s="40" t="s">
        <v>273</v>
      </c>
      <c r="E49" s="48">
        <v>12.872999999999999</v>
      </c>
      <c r="F49" s="15"/>
    </row>
    <row r="50" spans="1:6" ht="20.100000000000001" customHeight="1" x14ac:dyDescent="0.2">
      <c r="A50" s="23">
        <v>41</v>
      </c>
      <c r="B50" s="23" t="s">
        <v>57</v>
      </c>
      <c r="C50" s="23"/>
      <c r="D50" s="32" t="s">
        <v>274</v>
      </c>
      <c r="E50" s="47">
        <v>12.49</v>
      </c>
      <c r="F50" s="25"/>
    </row>
    <row r="51" spans="1:6" ht="20.100000000000001" customHeight="1" x14ac:dyDescent="0.2">
      <c r="A51" s="23">
        <v>42</v>
      </c>
      <c r="B51" s="23" t="s">
        <v>58</v>
      </c>
      <c r="C51" s="23"/>
      <c r="D51" s="32" t="s">
        <v>275</v>
      </c>
      <c r="E51" s="47">
        <v>12.788</v>
      </c>
      <c r="F51" s="25"/>
    </row>
    <row r="52" spans="1:6" ht="20.100000000000001" customHeight="1" x14ac:dyDescent="0.2">
      <c r="A52" s="1">
        <v>43</v>
      </c>
      <c r="B52" s="14" t="s">
        <v>59</v>
      </c>
      <c r="C52" s="14"/>
      <c r="D52" s="39" t="s">
        <v>276</v>
      </c>
      <c r="E52" s="48">
        <v>12.667</v>
      </c>
      <c r="F52" s="15"/>
    </row>
    <row r="53" spans="1:6" ht="20.100000000000001" customHeight="1" x14ac:dyDescent="0.2">
      <c r="A53" s="1">
        <v>44</v>
      </c>
      <c r="B53" s="14" t="s">
        <v>60</v>
      </c>
      <c r="C53" s="14"/>
      <c r="D53" s="39" t="s">
        <v>277</v>
      </c>
      <c r="E53" s="48">
        <v>12.797000000000001</v>
      </c>
      <c r="F53" s="15"/>
    </row>
    <row r="54" spans="1:6" ht="20.100000000000001" customHeight="1" x14ac:dyDescent="0.2">
      <c r="A54" s="23">
        <v>45</v>
      </c>
      <c r="B54" s="23" t="s">
        <v>61</v>
      </c>
      <c r="C54" s="24" t="s">
        <v>147</v>
      </c>
      <c r="D54" s="24" t="s">
        <v>140</v>
      </c>
      <c r="E54" s="47"/>
      <c r="F54" s="25"/>
    </row>
    <row r="55" spans="1:6" ht="20.100000000000001" customHeight="1" x14ac:dyDescent="0.2">
      <c r="A55" s="23">
        <v>46</v>
      </c>
      <c r="B55" s="23" t="s">
        <v>62</v>
      </c>
      <c r="C55" s="24" t="s">
        <v>154</v>
      </c>
      <c r="D55" s="24" t="s">
        <v>139</v>
      </c>
      <c r="E55" s="47"/>
      <c r="F55" s="25"/>
    </row>
    <row r="56" spans="1:6" ht="20.100000000000001" customHeight="1" x14ac:dyDescent="0.2">
      <c r="A56" s="1">
        <v>47</v>
      </c>
      <c r="B56" s="14" t="s">
        <v>63</v>
      </c>
      <c r="C56" s="13"/>
      <c r="D56" s="39" t="s">
        <v>278</v>
      </c>
      <c r="E56" s="48">
        <v>12.86</v>
      </c>
      <c r="F56" s="15"/>
    </row>
    <row r="57" spans="1:6" ht="20.100000000000001" customHeight="1" x14ac:dyDescent="0.2">
      <c r="A57" s="1">
        <v>48</v>
      </c>
      <c r="B57" s="14" t="s">
        <v>64</v>
      </c>
      <c r="C57" s="13"/>
      <c r="D57" s="39" t="s">
        <v>279</v>
      </c>
      <c r="E57" s="48">
        <v>12.867000000000001</v>
      </c>
      <c r="F57" s="15"/>
    </row>
    <row r="58" spans="1:6" ht="20.100000000000001" customHeight="1" x14ac:dyDescent="0.2">
      <c r="A58" s="23">
        <v>49</v>
      </c>
      <c r="B58" s="23" t="s">
        <v>65</v>
      </c>
      <c r="C58" s="24"/>
      <c r="D58" s="32" t="s">
        <v>280</v>
      </c>
      <c r="E58" s="47">
        <v>12.468999999999999</v>
      </c>
      <c r="F58" s="25"/>
    </row>
    <row r="59" spans="1:6" ht="20.100000000000001" customHeight="1" x14ac:dyDescent="0.2">
      <c r="A59" s="23">
        <v>50</v>
      </c>
      <c r="B59" s="23" t="s">
        <v>66</v>
      </c>
      <c r="C59" s="24"/>
      <c r="D59" s="32" t="s">
        <v>281</v>
      </c>
      <c r="E59" s="47">
        <v>12.678000000000001</v>
      </c>
      <c r="F59" s="25"/>
    </row>
    <row r="60" spans="1:6" ht="20.100000000000001" customHeight="1" x14ac:dyDescent="0.2">
      <c r="A60" s="14">
        <v>51</v>
      </c>
      <c r="B60" s="14" t="s">
        <v>67</v>
      </c>
      <c r="C60" s="13"/>
      <c r="D60" s="39" t="s">
        <v>282</v>
      </c>
      <c r="E60" s="48">
        <v>12.916</v>
      </c>
      <c r="F60" s="15"/>
    </row>
    <row r="61" spans="1:6" ht="20.100000000000001" customHeight="1" x14ac:dyDescent="0.2">
      <c r="A61" s="14">
        <v>52</v>
      </c>
      <c r="B61" s="14" t="s">
        <v>68</v>
      </c>
      <c r="C61" s="13"/>
      <c r="D61" s="39" t="s">
        <v>283</v>
      </c>
      <c r="E61" s="48">
        <v>12.571</v>
      </c>
      <c r="F61" s="15"/>
    </row>
    <row r="62" spans="1:6" ht="20.100000000000001" customHeight="1" x14ac:dyDescent="0.2">
      <c r="A62" s="23">
        <v>53</v>
      </c>
      <c r="B62" s="23" t="s">
        <v>69</v>
      </c>
      <c r="C62" s="23"/>
      <c r="D62" s="32" t="s">
        <v>284</v>
      </c>
      <c r="E62" s="26">
        <v>12.798</v>
      </c>
      <c r="F62" s="23"/>
    </row>
    <row r="63" spans="1:6" ht="20.100000000000001" customHeight="1" x14ac:dyDescent="0.2">
      <c r="A63" s="23">
        <v>54</v>
      </c>
      <c r="B63" s="23" t="s">
        <v>70</v>
      </c>
      <c r="C63" s="23"/>
      <c r="D63" s="32" t="s">
        <v>285</v>
      </c>
      <c r="E63" s="65">
        <v>12.13</v>
      </c>
      <c r="F63" s="23"/>
    </row>
    <row r="64" spans="1:6" ht="20.100000000000001" customHeight="1" x14ac:dyDescent="0.2">
      <c r="A64" s="14">
        <v>55</v>
      </c>
      <c r="B64" s="14" t="s">
        <v>71</v>
      </c>
      <c r="C64" s="14"/>
      <c r="D64" s="39" t="s">
        <v>286</v>
      </c>
      <c r="E64" s="63">
        <v>12.724</v>
      </c>
      <c r="F64" s="14"/>
    </row>
    <row r="65" spans="1:6" ht="20.100000000000001" customHeight="1" x14ac:dyDescent="0.2">
      <c r="A65" s="14">
        <v>56</v>
      </c>
      <c r="B65" s="14" t="s">
        <v>72</v>
      </c>
      <c r="C65" s="14"/>
      <c r="D65" s="39" t="s">
        <v>287</v>
      </c>
      <c r="E65" s="63">
        <v>12.523</v>
      </c>
      <c r="F65" s="14"/>
    </row>
    <row r="66" spans="1:6" ht="20.100000000000001" customHeight="1" x14ac:dyDescent="0.2">
      <c r="A66" s="23">
        <v>57</v>
      </c>
      <c r="B66" s="23" t="s">
        <v>73</v>
      </c>
      <c r="C66" s="23"/>
      <c r="D66" s="32" t="s">
        <v>288</v>
      </c>
      <c r="E66" s="26">
        <v>12.833</v>
      </c>
      <c r="F66" s="23"/>
    </row>
    <row r="67" spans="1:6" ht="20.100000000000001" customHeight="1" x14ac:dyDescent="0.2">
      <c r="A67" s="23">
        <v>58</v>
      </c>
      <c r="B67" s="23" t="s">
        <v>74</v>
      </c>
      <c r="C67" s="23"/>
      <c r="D67" s="32" t="s">
        <v>289</v>
      </c>
      <c r="E67" s="26">
        <v>12.661</v>
      </c>
      <c r="F67" s="23"/>
    </row>
    <row r="68" spans="1:6" ht="20.100000000000001" customHeight="1" x14ac:dyDescent="0.2">
      <c r="A68" s="14">
        <v>59</v>
      </c>
      <c r="B68" s="14" t="s">
        <v>75</v>
      </c>
      <c r="C68" s="13" t="s">
        <v>146</v>
      </c>
      <c r="D68" s="13" t="s">
        <v>140</v>
      </c>
      <c r="E68" s="63"/>
      <c r="F68" s="14"/>
    </row>
    <row r="69" spans="1:6" ht="20.100000000000001" customHeight="1" x14ac:dyDescent="0.2">
      <c r="A69" s="14">
        <v>60</v>
      </c>
      <c r="B69" s="14" t="s">
        <v>76</v>
      </c>
      <c r="C69" s="13" t="s">
        <v>155</v>
      </c>
      <c r="D69" s="13" t="s">
        <v>139</v>
      </c>
      <c r="E69" s="63"/>
      <c r="F69" s="14"/>
    </row>
    <row r="70" spans="1:6" ht="20.100000000000001" customHeight="1" x14ac:dyDescent="0.2">
      <c r="A70" s="23">
        <v>61</v>
      </c>
      <c r="B70" s="23" t="s">
        <v>77</v>
      </c>
      <c r="C70" s="23"/>
      <c r="D70" s="32" t="s">
        <v>290</v>
      </c>
      <c r="E70" s="26">
        <v>12.736000000000001</v>
      </c>
      <c r="F70" s="23"/>
    </row>
    <row r="71" spans="1:6" ht="20.100000000000001" customHeight="1" x14ac:dyDescent="0.2">
      <c r="A71" s="23">
        <v>62</v>
      </c>
      <c r="B71" s="23" t="s">
        <v>78</v>
      </c>
      <c r="C71" s="23"/>
      <c r="D71" s="32" t="s">
        <v>291</v>
      </c>
      <c r="E71" s="26">
        <v>12.358000000000001</v>
      </c>
      <c r="F71" s="23"/>
    </row>
    <row r="72" spans="1:6" ht="20.100000000000001" customHeight="1" x14ac:dyDescent="0.2">
      <c r="A72" s="14">
        <v>63</v>
      </c>
      <c r="B72" s="14" t="s">
        <v>79</v>
      </c>
      <c r="C72" s="14"/>
      <c r="D72" s="39" t="s">
        <v>292</v>
      </c>
      <c r="E72" s="63">
        <v>12.119</v>
      </c>
      <c r="F72" s="14"/>
    </row>
    <row r="73" spans="1:6" ht="20.100000000000001" customHeight="1" x14ac:dyDescent="0.2">
      <c r="A73" s="14">
        <v>64</v>
      </c>
      <c r="B73" s="14" t="s">
        <v>80</v>
      </c>
      <c r="C73" s="14"/>
      <c r="D73" s="39" t="s">
        <v>293</v>
      </c>
      <c r="E73" s="63">
        <v>12.863</v>
      </c>
      <c r="F73" s="14"/>
    </row>
    <row r="74" spans="1:6" ht="20.100000000000001" customHeight="1" x14ac:dyDescent="0.2">
      <c r="A74" s="23">
        <v>65</v>
      </c>
      <c r="B74" s="23" t="s">
        <v>81</v>
      </c>
      <c r="C74" s="23"/>
      <c r="D74" s="32" t="s">
        <v>296</v>
      </c>
      <c r="E74" s="26">
        <v>12.095000000000001</v>
      </c>
      <c r="F74" s="23"/>
    </row>
    <row r="75" spans="1:6" ht="20.100000000000001" customHeight="1" x14ac:dyDescent="0.2">
      <c r="A75" s="23">
        <v>66</v>
      </c>
      <c r="B75" s="23" t="s">
        <v>82</v>
      </c>
      <c r="C75" s="23"/>
      <c r="D75" s="32" t="s">
        <v>297</v>
      </c>
      <c r="E75" s="26">
        <v>12.523</v>
      </c>
      <c r="F75" s="23"/>
    </row>
    <row r="76" spans="1:6" ht="20.100000000000001" customHeight="1" x14ac:dyDescent="0.2">
      <c r="A76" s="14">
        <v>67</v>
      </c>
      <c r="B76" s="14" t="s">
        <v>83</v>
      </c>
      <c r="C76" s="14"/>
      <c r="D76" s="39" t="s">
        <v>298</v>
      </c>
      <c r="E76" s="63">
        <v>12.827999999999999</v>
      </c>
      <c r="F76" s="14"/>
    </row>
    <row r="77" spans="1:6" ht="20.100000000000001" customHeight="1" x14ac:dyDescent="0.2">
      <c r="A77" s="14">
        <v>68</v>
      </c>
      <c r="B77" s="14" t="s">
        <v>84</v>
      </c>
      <c r="C77" s="14"/>
      <c r="D77" s="39" t="s">
        <v>299</v>
      </c>
      <c r="E77" s="63">
        <v>12.102</v>
      </c>
      <c r="F77" s="14"/>
    </row>
    <row r="78" spans="1:6" ht="20.100000000000001" customHeight="1" x14ac:dyDescent="0.2">
      <c r="A78" s="23">
        <v>69</v>
      </c>
      <c r="B78" s="23" t="s">
        <v>85</v>
      </c>
      <c r="C78" s="23"/>
      <c r="D78" s="32" t="s">
        <v>300</v>
      </c>
      <c r="E78" s="26">
        <v>12.826000000000001</v>
      </c>
      <c r="F78" s="23"/>
    </row>
    <row r="79" spans="1:6" ht="20.100000000000001" customHeight="1" x14ac:dyDescent="0.2">
      <c r="A79" s="23">
        <v>70</v>
      </c>
      <c r="B79" s="23" t="s">
        <v>86</v>
      </c>
      <c r="C79" s="23"/>
      <c r="D79" s="32" t="s">
        <v>301</v>
      </c>
      <c r="E79" s="26">
        <v>12.930999999999999</v>
      </c>
      <c r="F79" s="23"/>
    </row>
    <row r="80" spans="1:6" ht="20.100000000000001" customHeight="1" x14ac:dyDescent="0.2">
      <c r="A80" s="14">
        <v>71</v>
      </c>
      <c r="B80" s="14" t="s">
        <v>87</v>
      </c>
      <c r="C80" s="14"/>
      <c r="D80" s="39" t="s">
        <v>302</v>
      </c>
      <c r="E80" s="63">
        <v>12.406000000000001</v>
      </c>
      <c r="F80" s="14"/>
    </row>
    <row r="81" spans="1:6" ht="20.100000000000001" customHeight="1" x14ac:dyDescent="0.2">
      <c r="A81" s="14">
        <v>72</v>
      </c>
      <c r="B81" s="14" t="s">
        <v>88</v>
      </c>
      <c r="C81" s="14"/>
      <c r="D81" s="39" t="s">
        <v>303</v>
      </c>
      <c r="E81" s="63">
        <v>12.795</v>
      </c>
      <c r="F81" s="14"/>
    </row>
    <row r="82" spans="1:6" ht="20.100000000000001" customHeight="1" x14ac:dyDescent="0.2">
      <c r="A82" s="23">
        <v>73</v>
      </c>
      <c r="B82" s="23" t="s">
        <v>89</v>
      </c>
      <c r="C82" s="24" t="s">
        <v>145</v>
      </c>
      <c r="D82" s="24" t="s">
        <v>140</v>
      </c>
      <c r="E82" s="26"/>
      <c r="F82" s="23"/>
    </row>
    <row r="83" spans="1:6" ht="20.100000000000001" customHeight="1" x14ac:dyDescent="0.2">
      <c r="A83" s="23">
        <v>74</v>
      </c>
      <c r="B83" s="23" t="s">
        <v>90</v>
      </c>
      <c r="C83" s="24" t="s">
        <v>156</v>
      </c>
      <c r="D83" s="24" t="s">
        <v>139</v>
      </c>
      <c r="E83" s="26"/>
      <c r="F83" s="23"/>
    </row>
    <row r="84" spans="1:6" ht="20.100000000000001" customHeight="1" x14ac:dyDescent="0.2">
      <c r="A84" s="14">
        <v>75</v>
      </c>
      <c r="B84" s="14" t="s">
        <v>91</v>
      </c>
      <c r="C84" s="14"/>
      <c r="D84" s="39" t="s">
        <v>294</v>
      </c>
      <c r="E84" s="64">
        <v>12.87</v>
      </c>
      <c r="F84" s="14"/>
    </row>
    <row r="85" spans="1:6" ht="20.100000000000001" customHeight="1" x14ac:dyDescent="0.2">
      <c r="A85" s="14">
        <v>76</v>
      </c>
      <c r="B85" s="14" t="s">
        <v>92</v>
      </c>
      <c r="C85" s="14"/>
      <c r="D85" s="39" t="s">
        <v>304</v>
      </c>
      <c r="E85" s="63">
        <v>12.917</v>
      </c>
      <c r="F85" s="14"/>
    </row>
    <row r="86" spans="1:6" ht="20.100000000000001" customHeight="1" x14ac:dyDescent="0.2">
      <c r="A86" s="23">
        <v>77</v>
      </c>
      <c r="B86" s="23" t="s">
        <v>93</v>
      </c>
      <c r="C86" s="23"/>
      <c r="D86" s="32" t="s">
        <v>305</v>
      </c>
      <c r="E86" s="26">
        <v>12.896000000000001</v>
      </c>
      <c r="F86" s="23"/>
    </row>
    <row r="87" spans="1:6" ht="20.100000000000001" customHeight="1" x14ac:dyDescent="0.2">
      <c r="A87" s="23">
        <v>78</v>
      </c>
      <c r="B87" s="23" t="s">
        <v>94</v>
      </c>
      <c r="C87" s="23"/>
      <c r="D87" s="32" t="s">
        <v>306</v>
      </c>
      <c r="E87" s="26">
        <v>12.866</v>
      </c>
      <c r="F87" s="23"/>
    </row>
    <row r="88" spans="1:6" ht="20.100000000000001" customHeight="1" x14ac:dyDescent="0.2">
      <c r="A88" s="14">
        <v>79</v>
      </c>
      <c r="B88" s="14" t="s">
        <v>95</v>
      </c>
      <c r="C88" s="14"/>
      <c r="D88" s="39" t="s">
        <v>307</v>
      </c>
      <c r="E88" s="63">
        <v>12.919</v>
      </c>
      <c r="F88" s="14"/>
    </row>
    <row r="89" spans="1:6" ht="20.100000000000001" customHeight="1" x14ac:dyDescent="0.2">
      <c r="A89" s="14">
        <v>80</v>
      </c>
      <c r="B89" s="14" t="s">
        <v>96</v>
      </c>
      <c r="C89" s="14"/>
      <c r="D89" s="39" t="s">
        <v>308</v>
      </c>
      <c r="E89" s="64">
        <v>12.32</v>
      </c>
      <c r="F89" s="14"/>
    </row>
    <row r="90" spans="1:6" ht="20.100000000000001" customHeight="1" x14ac:dyDescent="0.2">
      <c r="A90" s="23">
        <v>81</v>
      </c>
      <c r="B90" s="23" t="s">
        <v>97</v>
      </c>
      <c r="C90" s="23"/>
      <c r="D90" s="32" t="s">
        <v>295</v>
      </c>
      <c r="E90" s="26">
        <v>12.471</v>
      </c>
      <c r="F90" s="23"/>
    </row>
    <row r="91" spans="1:6" ht="20.100000000000001" customHeight="1" x14ac:dyDescent="0.2">
      <c r="A91" s="23">
        <v>82</v>
      </c>
      <c r="B91" s="23" t="s">
        <v>98</v>
      </c>
      <c r="C91" s="23"/>
      <c r="D91" s="32" t="s">
        <v>309</v>
      </c>
      <c r="E91" s="26">
        <v>12.884</v>
      </c>
      <c r="F91" s="23"/>
    </row>
    <row r="92" spans="1:6" ht="20.100000000000001" customHeight="1" x14ac:dyDescent="0.2">
      <c r="A92" s="14">
        <v>83</v>
      </c>
      <c r="B92" s="14" t="s">
        <v>99</v>
      </c>
      <c r="C92" s="14"/>
      <c r="D92" s="39" t="s">
        <v>310</v>
      </c>
      <c r="E92" s="63">
        <v>12.798999999999999</v>
      </c>
      <c r="F92" s="14"/>
    </row>
    <row r="93" spans="1:6" ht="20.100000000000001" customHeight="1" x14ac:dyDescent="0.2">
      <c r="A93" s="14">
        <v>84</v>
      </c>
      <c r="B93" s="14" t="s">
        <v>100</v>
      </c>
      <c r="C93" s="14"/>
      <c r="D93" s="39" t="s">
        <v>311</v>
      </c>
      <c r="E93" s="64">
        <v>12.34</v>
      </c>
      <c r="F93" s="14"/>
    </row>
    <row r="94" spans="1:6" ht="20.100000000000001" customHeight="1" x14ac:dyDescent="0.2">
      <c r="A94" s="23">
        <v>85</v>
      </c>
      <c r="B94" s="23" t="s">
        <v>101</v>
      </c>
      <c r="C94" s="23"/>
      <c r="D94" s="32" t="s">
        <v>312</v>
      </c>
      <c r="E94" s="26">
        <v>12.257999999999999</v>
      </c>
      <c r="F94" s="23"/>
    </row>
    <row r="95" spans="1:6" ht="20.100000000000001" customHeight="1" x14ac:dyDescent="0.2">
      <c r="A95" s="23">
        <v>86</v>
      </c>
      <c r="B95" s="23" t="s">
        <v>102</v>
      </c>
      <c r="C95" s="23"/>
      <c r="D95" s="32" t="s">
        <v>313</v>
      </c>
      <c r="E95" s="26">
        <v>12.772</v>
      </c>
      <c r="F95" s="23"/>
    </row>
    <row r="96" spans="1:6" ht="20.100000000000001" customHeight="1" x14ac:dyDescent="0.2">
      <c r="A96" s="14">
        <v>87</v>
      </c>
      <c r="B96" s="14" t="s">
        <v>103</v>
      </c>
      <c r="C96" s="13" t="s">
        <v>143</v>
      </c>
      <c r="D96" s="13" t="s">
        <v>140</v>
      </c>
      <c r="E96" s="63"/>
      <c r="F96" s="14"/>
    </row>
    <row r="97" spans="1:6" ht="20.100000000000001" customHeight="1" x14ac:dyDescent="0.2">
      <c r="A97" s="14">
        <v>88</v>
      </c>
      <c r="B97" s="14" t="s">
        <v>104</v>
      </c>
      <c r="C97" s="13" t="s">
        <v>157</v>
      </c>
      <c r="D97" s="13" t="s">
        <v>139</v>
      </c>
      <c r="E97" s="63"/>
      <c r="F97" s="14"/>
    </row>
    <row r="98" spans="1:6" ht="20.100000000000001" customHeight="1" x14ac:dyDescent="0.2">
      <c r="A98" s="23">
        <v>89</v>
      </c>
      <c r="B98" s="23" t="s">
        <v>105</v>
      </c>
      <c r="C98" s="23"/>
      <c r="D98" s="32" t="s">
        <v>314</v>
      </c>
      <c r="E98" s="26">
        <v>12.204000000000001</v>
      </c>
      <c r="F98" s="23"/>
    </row>
    <row r="99" spans="1:6" ht="20.100000000000001" customHeight="1" x14ac:dyDescent="0.2">
      <c r="A99" s="23">
        <v>90</v>
      </c>
      <c r="B99" s="23" t="s">
        <v>106</v>
      </c>
      <c r="C99" s="23"/>
      <c r="D99" s="32" t="s">
        <v>315</v>
      </c>
      <c r="E99" s="26">
        <v>12.971</v>
      </c>
      <c r="F99" s="23"/>
    </row>
    <row r="100" spans="1:6" ht="20.100000000000001" customHeight="1" x14ac:dyDescent="0.2">
      <c r="A100" s="14">
        <v>91</v>
      </c>
      <c r="B100" s="14" t="s">
        <v>107</v>
      </c>
      <c r="C100" s="14"/>
      <c r="D100" s="39" t="s">
        <v>316</v>
      </c>
      <c r="E100" s="63">
        <v>12.827999999999999</v>
      </c>
      <c r="F100" s="14"/>
    </row>
    <row r="101" spans="1:6" ht="20.100000000000001" customHeight="1" x14ac:dyDescent="0.2">
      <c r="A101" s="14">
        <v>92</v>
      </c>
      <c r="B101" s="14" t="s">
        <v>108</v>
      </c>
      <c r="C101" s="14"/>
      <c r="D101" s="39" t="s">
        <v>318</v>
      </c>
      <c r="E101" s="63">
        <v>12.994</v>
      </c>
      <c r="F101" s="14"/>
    </row>
    <row r="102" spans="1:6" ht="20.100000000000001" customHeight="1" x14ac:dyDescent="0.2">
      <c r="A102" s="23">
        <v>93</v>
      </c>
      <c r="B102" s="23" t="s">
        <v>109</v>
      </c>
      <c r="C102" s="23"/>
      <c r="D102" s="32" t="s">
        <v>317</v>
      </c>
      <c r="E102" s="26">
        <v>12.064</v>
      </c>
      <c r="F102" s="23"/>
    </row>
    <row r="103" spans="1:6" ht="20.100000000000001" customHeight="1" x14ac:dyDescent="0.2">
      <c r="A103" s="23">
        <v>94</v>
      </c>
      <c r="B103" s="23" t="s">
        <v>110</v>
      </c>
      <c r="C103" s="23"/>
      <c r="D103" s="32" t="s">
        <v>319</v>
      </c>
      <c r="E103" s="26">
        <v>12.803000000000001</v>
      </c>
      <c r="F103" s="23"/>
    </row>
    <row r="104" spans="1:6" ht="20.100000000000001" customHeight="1" x14ac:dyDescent="0.2">
      <c r="A104" s="14">
        <v>95</v>
      </c>
      <c r="B104" s="14" t="s">
        <v>111</v>
      </c>
      <c r="C104" s="14"/>
      <c r="D104" s="39" t="s">
        <v>353</v>
      </c>
      <c r="E104" s="63">
        <v>12.967000000000001</v>
      </c>
      <c r="F104" s="14"/>
    </row>
    <row r="105" spans="1:6" ht="20.100000000000001" customHeight="1" x14ac:dyDescent="0.2">
      <c r="A105" s="14">
        <v>96</v>
      </c>
      <c r="B105" s="14" t="s">
        <v>112</v>
      </c>
      <c r="C105" s="14"/>
      <c r="D105" s="39" t="s">
        <v>354</v>
      </c>
      <c r="E105" s="64">
        <v>12.28</v>
      </c>
      <c r="F105" s="14"/>
    </row>
    <row r="106" spans="1:6" ht="20.100000000000001" customHeight="1" x14ac:dyDescent="0.2">
      <c r="A106" s="23">
        <v>97</v>
      </c>
      <c r="B106" s="23" t="s">
        <v>113</v>
      </c>
      <c r="C106" s="23"/>
      <c r="D106" s="32" t="s">
        <v>355</v>
      </c>
      <c r="E106" s="26">
        <v>12.348000000000001</v>
      </c>
      <c r="F106" s="23"/>
    </row>
    <row r="107" spans="1:6" ht="20.100000000000001" customHeight="1" x14ac:dyDescent="0.2">
      <c r="A107" s="23">
        <v>98</v>
      </c>
      <c r="B107" s="23" t="s">
        <v>114</v>
      </c>
      <c r="C107" s="23"/>
      <c r="D107" s="32" t="s">
        <v>356</v>
      </c>
      <c r="E107" s="26">
        <v>12.909000000000001</v>
      </c>
      <c r="F107" s="23"/>
    </row>
    <row r="108" spans="1:6" ht="20.100000000000001" customHeight="1" x14ac:dyDescent="0.2">
      <c r="A108" s="14">
        <v>99</v>
      </c>
      <c r="B108" s="14" t="s">
        <v>115</v>
      </c>
      <c r="C108" s="14"/>
      <c r="D108" s="39" t="s">
        <v>357</v>
      </c>
      <c r="E108" s="63">
        <v>12.801</v>
      </c>
      <c r="F108" s="14"/>
    </row>
    <row r="109" spans="1:6" ht="20.100000000000001" customHeight="1" x14ac:dyDescent="0.2">
      <c r="A109" s="14">
        <v>100</v>
      </c>
      <c r="B109" s="14" t="s">
        <v>116</v>
      </c>
      <c r="C109" s="14"/>
      <c r="D109" s="39" t="s">
        <v>358</v>
      </c>
      <c r="E109" s="63">
        <v>12.704000000000001</v>
      </c>
      <c r="F109" s="14"/>
    </row>
    <row r="110" spans="1:6" ht="20.100000000000001" customHeight="1" x14ac:dyDescent="0.2">
      <c r="A110" s="23">
        <v>101</v>
      </c>
      <c r="B110" s="23" t="s">
        <v>117</v>
      </c>
      <c r="C110" s="23"/>
      <c r="D110" s="32" t="s">
        <v>359</v>
      </c>
      <c r="E110" s="65">
        <v>12.64</v>
      </c>
      <c r="F110" s="23"/>
    </row>
    <row r="111" spans="1:6" ht="20.100000000000001" customHeight="1" x14ac:dyDescent="0.2">
      <c r="A111" s="23">
        <v>102</v>
      </c>
      <c r="B111" s="23" t="s">
        <v>118</v>
      </c>
      <c r="C111" s="24" t="s">
        <v>142</v>
      </c>
      <c r="D111" s="24" t="s">
        <v>140</v>
      </c>
      <c r="E111" s="26"/>
      <c r="F111" s="23"/>
    </row>
    <row r="112" spans="1:6" ht="20.100000000000001" customHeight="1" x14ac:dyDescent="0.2">
      <c r="A112" s="14">
        <v>103</v>
      </c>
      <c r="B112" s="14" t="s">
        <v>119</v>
      </c>
      <c r="C112" s="13" t="s">
        <v>158</v>
      </c>
      <c r="D112" s="13" t="s">
        <v>139</v>
      </c>
      <c r="E112" s="63"/>
      <c r="F112" s="14"/>
    </row>
    <row r="113" spans="1:6" ht="20.100000000000001" customHeight="1" x14ac:dyDescent="0.2">
      <c r="A113" s="14">
        <v>104</v>
      </c>
      <c r="B113" s="14" t="s">
        <v>120</v>
      </c>
      <c r="C113" s="14"/>
      <c r="D113" s="39" t="s">
        <v>360</v>
      </c>
      <c r="E113" s="63">
        <v>12.651</v>
      </c>
      <c r="F113" s="14"/>
    </row>
    <row r="114" spans="1:6" ht="20.100000000000001" customHeight="1" x14ac:dyDescent="0.2">
      <c r="A114" s="23">
        <v>105</v>
      </c>
      <c r="B114" s="23" t="s">
        <v>121</v>
      </c>
      <c r="C114" s="23"/>
      <c r="D114" s="32" t="s">
        <v>361</v>
      </c>
      <c r="E114" s="26">
        <v>12.051</v>
      </c>
      <c r="F114" s="23"/>
    </row>
    <row r="115" spans="1:6" ht="20.100000000000001" customHeight="1" x14ac:dyDescent="0.2">
      <c r="A115" s="23">
        <v>106</v>
      </c>
      <c r="B115" s="23" t="s">
        <v>122</v>
      </c>
      <c r="C115" s="23"/>
      <c r="D115" s="32" t="s">
        <v>362</v>
      </c>
      <c r="E115" s="26">
        <v>12.260999999999999</v>
      </c>
      <c r="F115" s="23"/>
    </row>
    <row r="116" spans="1:6" ht="20.100000000000001" customHeight="1" x14ac:dyDescent="0.2">
      <c r="A116" s="14">
        <v>107</v>
      </c>
      <c r="B116" s="14" t="s">
        <v>123</v>
      </c>
      <c r="C116" s="14"/>
      <c r="D116" s="39" t="s">
        <v>363</v>
      </c>
      <c r="E116" s="63">
        <v>12.702</v>
      </c>
      <c r="F116" s="14"/>
    </row>
    <row r="117" spans="1:6" ht="20.100000000000001" customHeight="1" x14ac:dyDescent="0.2">
      <c r="A117" s="14">
        <v>108</v>
      </c>
      <c r="B117" s="14" t="s">
        <v>124</v>
      </c>
      <c r="C117" s="14"/>
      <c r="D117" s="39" t="s">
        <v>364</v>
      </c>
      <c r="E117" s="63">
        <v>12.301</v>
      </c>
      <c r="F117" s="14"/>
    </row>
    <row r="118" spans="1:6" ht="20.100000000000001" customHeight="1" x14ac:dyDescent="0.2">
      <c r="A118" s="23">
        <v>109</v>
      </c>
      <c r="B118" s="23" t="s">
        <v>125</v>
      </c>
      <c r="C118" s="23"/>
      <c r="D118" s="32" t="s">
        <v>365</v>
      </c>
      <c r="E118" s="26">
        <v>12.932</v>
      </c>
      <c r="F118" s="23"/>
    </row>
    <row r="119" spans="1:6" ht="20.100000000000001" customHeight="1" x14ac:dyDescent="0.2">
      <c r="A119" s="23">
        <v>110</v>
      </c>
      <c r="B119" s="23" t="s">
        <v>126</v>
      </c>
      <c r="C119" s="23"/>
      <c r="D119" s="32" t="s">
        <v>366</v>
      </c>
      <c r="E119" s="26">
        <v>12.871</v>
      </c>
      <c r="F119" s="23"/>
    </row>
    <row r="120" spans="1:6" ht="20.100000000000001" customHeight="1" x14ac:dyDescent="0.2">
      <c r="A120" s="14">
        <v>111</v>
      </c>
      <c r="B120" s="14" t="s">
        <v>127</v>
      </c>
      <c r="C120" s="14"/>
      <c r="D120" s="39" t="s">
        <v>367</v>
      </c>
      <c r="E120" s="63">
        <v>12.521000000000001</v>
      </c>
      <c r="F120" s="14"/>
    </row>
    <row r="121" spans="1:6" ht="20.100000000000001" customHeight="1" x14ac:dyDescent="0.2">
      <c r="A121" s="14">
        <v>112</v>
      </c>
      <c r="B121" s="14" t="s">
        <v>128</v>
      </c>
      <c r="C121" s="14"/>
      <c r="D121" s="39" t="s">
        <v>368</v>
      </c>
      <c r="E121" s="63">
        <v>12.374000000000001</v>
      </c>
      <c r="F121" s="14"/>
    </row>
    <row r="122" spans="1:6" ht="20.100000000000001" customHeight="1" x14ac:dyDescent="0.2">
      <c r="A122" s="23">
        <v>113</v>
      </c>
      <c r="B122" s="23" t="s">
        <v>129</v>
      </c>
      <c r="C122" s="23"/>
      <c r="D122" s="32" t="s">
        <v>369</v>
      </c>
      <c r="E122" s="26">
        <v>12.457000000000001</v>
      </c>
      <c r="F122" s="23"/>
    </row>
    <row r="123" spans="1:6" ht="20.100000000000001" customHeight="1" x14ac:dyDescent="0.2">
      <c r="A123" s="23">
        <v>114</v>
      </c>
      <c r="B123" s="23" t="s">
        <v>130</v>
      </c>
      <c r="C123" s="23"/>
      <c r="D123" s="32" t="s">
        <v>370</v>
      </c>
      <c r="E123" s="65">
        <v>12.67</v>
      </c>
      <c r="F123" s="23"/>
    </row>
    <row r="124" spans="1:6" ht="20.100000000000001" customHeight="1" x14ac:dyDescent="0.2">
      <c r="A124" s="14">
        <v>115</v>
      </c>
      <c r="B124" s="14" t="s">
        <v>131</v>
      </c>
      <c r="C124" s="14"/>
      <c r="D124" s="39" t="s">
        <v>371</v>
      </c>
      <c r="E124" s="64">
        <v>12.11</v>
      </c>
      <c r="F124" s="14"/>
    </row>
    <row r="125" spans="1:6" ht="20.100000000000001" customHeight="1" x14ac:dyDescent="0.2">
      <c r="A125" s="14">
        <v>116</v>
      </c>
      <c r="B125" s="14" t="s">
        <v>132</v>
      </c>
      <c r="C125" s="14"/>
      <c r="D125" s="39" t="s">
        <v>372</v>
      </c>
      <c r="E125" s="63">
        <v>12.795999999999999</v>
      </c>
      <c r="F125" s="14"/>
    </row>
    <row r="126" spans="1:6" ht="20.100000000000001" customHeight="1" x14ac:dyDescent="0.2">
      <c r="A126" s="23">
        <v>117</v>
      </c>
      <c r="B126" s="23" t="s">
        <v>133</v>
      </c>
      <c r="C126" s="24" t="s">
        <v>136</v>
      </c>
      <c r="D126" s="24" t="s">
        <v>15</v>
      </c>
      <c r="E126" s="26"/>
      <c r="F126" s="23"/>
    </row>
    <row r="127" spans="1:6" ht="20.100000000000001" customHeight="1" x14ac:dyDescent="0.2">
      <c r="A127" s="23">
        <v>118</v>
      </c>
      <c r="B127" s="23" t="s">
        <v>134</v>
      </c>
      <c r="C127" s="24" t="s">
        <v>141</v>
      </c>
      <c r="D127" s="24" t="s">
        <v>140</v>
      </c>
      <c r="E127" s="26"/>
      <c r="F127" s="23"/>
    </row>
    <row r="128" spans="1:6" ht="20.100000000000001" customHeight="1" x14ac:dyDescent="0.2">
      <c r="A128" s="14">
        <v>119</v>
      </c>
      <c r="B128" s="14" t="s">
        <v>135</v>
      </c>
      <c r="C128" s="13" t="s">
        <v>159</v>
      </c>
      <c r="D128" s="13" t="s">
        <v>139</v>
      </c>
      <c r="E128" s="63"/>
      <c r="F128" s="14"/>
    </row>
    <row r="129" spans="4:4" x14ac:dyDescent="0.2">
      <c r="D129" s="41" t="s">
        <v>138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642B-C670-4581-A0C4-AC0D9C7C2CAA}">
  <dimension ref="A1:F129"/>
  <sheetViews>
    <sheetView tabSelected="1" topLeftCell="A51" zoomScale="90" zoomScaleNormal="90" workbookViewId="0">
      <selection activeCell="I55" sqref="I55"/>
    </sheetView>
  </sheetViews>
  <sheetFormatPr defaultRowHeight="12.75" x14ac:dyDescent="0.2"/>
  <cols>
    <col min="1" max="1" width="6.42578125" customWidth="1"/>
    <col min="2" max="2" width="9.42578125" customWidth="1"/>
    <col min="3" max="3" width="14.7109375" customWidth="1"/>
    <col min="4" max="4" width="37.140625" style="38" customWidth="1"/>
    <col min="5" max="5" width="18.85546875" style="74" customWidth="1"/>
    <col min="6" max="6" width="30.85546875" customWidth="1"/>
  </cols>
  <sheetData>
    <row r="1" spans="1:6" ht="12.75" customHeight="1" x14ac:dyDescent="0.2">
      <c r="A1" s="5" t="s">
        <v>0</v>
      </c>
      <c r="B1" s="6"/>
      <c r="C1" s="6"/>
      <c r="D1" s="33"/>
      <c r="E1" s="68" t="s">
        <v>8</v>
      </c>
      <c r="F1" s="17"/>
    </row>
    <row r="2" spans="1:6" ht="12.75" customHeight="1" x14ac:dyDescent="0.2">
      <c r="A2" s="7" t="s">
        <v>1</v>
      </c>
      <c r="B2" s="8"/>
      <c r="C2" s="8"/>
      <c r="D2" s="34"/>
      <c r="E2" s="69" t="s">
        <v>5</v>
      </c>
      <c r="F2" s="19"/>
    </row>
    <row r="3" spans="1:6" ht="12.75" customHeight="1" x14ac:dyDescent="0.2">
      <c r="A3" s="7" t="s">
        <v>2</v>
      </c>
      <c r="B3" s="8"/>
      <c r="C3" s="8"/>
      <c r="D3" s="34"/>
      <c r="E3" s="69" t="s">
        <v>6</v>
      </c>
      <c r="F3" s="19" t="s">
        <v>207</v>
      </c>
    </row>
    <row r="4" spans="1:6" ht="12.75" customHeight="1" x14ac:dyDescent="0.2">
      <c r="A4" s="7" t="s">
        <v>3</v>
      </c>
      <c r="B4" s="8"/>
      <c r="C4" s="8"/>
      <c r="D4" s="34"/>
      <c r="E4" s="70"/>
      <c r="F4" s="19"/>
    </row>
    <row r="5" spans="1:6" ht="12.75" customHeight="1" x14ac:dyDescent="0.2">
      <c r="A5" s="9" t="s">
        <v>4</v>
      </c>
      <c r="B5" s="10"/>
      <c r="C5" s="10"/>
      <c r="D5" s="35"/>
      <c r="E5" s="71" t="s">
        <v>7</v>
      </c>
      <c r="F5" s="22" t="s">
        <v>384</v>
      </c>
    </row>
    <row r="6" spans="1:6" ht="12.75" customHeight="1" x14ac:dyDescent="0.2">
      <c r="A6" s="31" t="s">
        <v>137</v>
      </c>
      <c r="B6" s="11"/>
      <c r="C6" s="11"/>
      <c r="D6" s="36"/>
      <c r="E6" s="72"/>
      <c r="F6" s="12"/>
    </row>
    <row r="7" spans="1:6" ht="12.75" customHeight="1" x14ac:dyDescent="0.2">
      <c r="A7" s="2"/>
      <c r="B7" s="2"/>
      <c r="C7" s="2"/>
      <c r="D7" s="37"/>
      <c r="E7" s="73"/>
      <c r="F7" s="2"/>
    </row>
    <row r="8" spans="1:6" ht="12.75" customHeight="1" x14ac:dyDescent="0.2"/>
    <row r="9" spans="1:6" ht="20.100000000000001" customHeight="1" x14ac:dyDescent="0.2">
      <c r="A9" s="3" t="s">
        <v>11</v>
      </c>
      <c r="B9" s="3" t="s">
        <v>16</v>
      </c>
      <c r="C9" s="4" t="s">
        <v>9</v>
      </c>
      <c r="D9" s="4" t="s">
        <v>12</v>
      </c>
      <c r="E9" s="75" t="s">
        <v>10</v>
      </c>
      <c r="F9" s="4" t="s">
        <v>13</v>
      </c>
    </row>
    <row r="10" spans="1:6" ht="20.100000000000001" customHeight="1" x14ac:dyDescent="0.2">
      <c r="A10" s="23">
        <v>1</v>
      </c>
      <c r="B10" s="23" t="s">
        <v>17</v>
      </c>
      <c r="C10" s="24" t="s">
        <v>144</v>
      </c>
      <c r="D10" s="24" t="s">
        <v>140</v>
      </c>
      <c r="E10" s="66"/>
      <c r="F10" s="25"/>
    </row>
    <row r="11" spans="1:6" ht="20.100000000000001" customHeight="1" x14ac:dyDescent="0.2">
      <c r="A11" s="23">
        <v>2</v>
      </c>
      <c r="B11" s="23" t="s">
        <v>18</v>
      </c>
      <c r="C11" s="26"/>
      <c r="D11" s="24" t="s">
        <v>14</v>
      </c>
      <c r="E11" s="27">
        <v>1E-4</v>
      </c>
      <c r="F11" s="27"/>
    </row>
    <row r="12" spans="1:6" ht="20.100000000000001" customHeight="1" x14ac:dyDescent="0.2">
      <c r="A12" s="1">
        <v>3</v>
      </c>
      <c r="B12" s="14" t="s">
        <v>19</v>
      </c>
      <c r="C12" s="13" t="s">
        <v>150</v>
      </c>
      <c r="D12" s="13" t="s">
        <v>140</v>
      </c>
      <c r="E12" s="67"/>
      <c r="F12" s="15"/>
    </row>
    <row r="13" spans="1:6" ht="20.100000000000001" customHeight="1" x14ac:dyDescent="0.2">
      <c r="A13" s="1">
        <v>4</v>
      </c>
      <c r="B13" s="14" t="s">
        <v>20</v>
      </c>
      <c r="C13" s="13" t="s">
        <v>151</v>
      </c>
      <c r="D13" s="13" t="s">
        <v>139</v>
      </c>
      <c r="E13" s="67"/>
      <c r="F13" s="15"/>
    </row>
    <row r="14" spans="1:6" ht="20.100000000000001" customHeight="1" x14ac:dyDescent="0.2">
      <c r="A14" s="23">
        <v>5</v>
      </c>
      <c r="B14" s="23" t="s">
        <v>21</v>
      </c>
      <c r="C14" s="24"/>
      <c r="D14" s="32" t="s">
        <v>373</v>
      </c>
      <c r="E14" s="66">
        <v>12.656000000000001</v>
      </c>
      <c r="F14" s="25"/>
    </row>
    <row r="15" spans="1:6" ht="20.100000000000001" customHeight="1" x14ac:dyDescent="0.2">
      <c r="A15" s="23">
        <v>6</v>
      </c>
      <c r="B15" s="23" t="s">
        <v>22</v>
      </c>
      <c r="C15" s="23"/>
      <c r="D15" s="32" t="s">
        <v>374</v>
      </c>
      <c r="E15" s="66">
        <v>12.516</v>
      </c>
      <c r="F15" s="25"/>
    </row>
    <row r="16" spans="1:6" ht="20.100000000000001" customHeight="1" x14ac:dyDescent="0.2">
      <c r="A16" s="1">
        <v>7</v>
      </c>
      <c r="B16" s="14" t="s">
        <v>23</v>
      </c>
      <c r="C16" s="14"/>
      <c r="D16" s="39" t="s">
        <v>375</v>
      </c>
      <c r="E16" s="67">
        <v>12.318</v>
      </c>
      <c r="F16" s="15"/>
    </row>
    <row r="17" spans="1:6" ht="20.100000000000001" customHeight="1" x14ac:dyDescent="0.2">
      <c r="A17" s="1">
        <v>8</v>
      </c>
      <c r="B17" s="14" t="s">
        <v>24</v>
      </c>
      <c r="C17" s="14"/>
      <c r="D17" s="39" t="s">
        <v>376</v>
      </c>
      <c r="E17" s="67">
        <v>12.86</v>
      </c>
      <c r="F17" s="15"/>
    </row>
    <row r="18" spans="1:6" ht="20.100000000000001" customHeight="1" x14ac:dyDescent="0.2">
      <c r="A18" s="23">
        <v>9</v>
      </c>
      <c r="B18" s="23" t="s">
        <v>25</v>
      </c>
      <c r="C18" s="23"/>
      <c r="D18" s="32" t="s">
        <v>377</v>
      </c>
      <c r="E18" s="66">
        <v>12.472</v>
      </c>
      <c r="F18" s="25"/>
    </row>
    <row r="19" spans="1:6" ht="20.100000000000001" customHeight="1" x14ac:dyDescent="0.2">
      <c r="A19" s="23">
        <v>10</v>
      </c>
      <c r="B19" s="23" t="s">
        <v>26</v>
      </c>
      <c r="C19" s="23"/>
      <c r="D19" s="32" t="s">
        <v>378</v>
      </c>
      <c r="E19" s="66">
        <v>12.124000000000001</v>
      </c>
      <c r="F19" s="25"/>
    </row>
    <row r="20" spans="1:6" ht="20.100000000000001" customHeight="1" x14ac:dyDescent="0.2">
      <c r="A20" s="1">
        <v>11</v>
      </c>
      <c r="B20" s="14" t="s">
        <v>27</v>
      </c>
      <c r="C20" s="14"/>
      <c r="D20" s="39" t="s">
        <v>379</v>
      </c>
      <c r="E20" s="67">
        <v>12.609</v>
      </c>
      <c r="F20" s="15"/>
    </row>
    <row r="21" spans="1:6" ht="20.100000000000001" customHeight="1" x14ac:dyDescent="0.2">
      <c r="A21" s="1">
        <v>12</v>
      </c>
      <c r="B21" s="14" t="s">
        <v>28</v>
      </c>
      <c r="C21" s="14"/>
      <c r="D21" s="39" t="s">
        <v>380</v>
      </c>
      <c r="E21" s="67">
        <v>12.353</v>
      </c>
      <c r="F21" s="15"/>
    </row>
    <row r="22" spans="1:6" ht="20.100000000000001" customHeight="1" x14ac:dyDescent="0.2">
      <c r="A22" s="23">
        <v>13</v>
      </c>
      <c r="B22" s="23" t="s">
        <v>29</v>
      </c>
      <c r="C22" s="23"/>
      <c r="D22" s="32" t="s">
        <v>381</v>
      </c>
      <c r="E22" s="66">
        <v>12.635999999999999</v>
      </c>
      <c r="F22" s="25"/>
    </row>
    <row r="23" spans="1:6" ht="20.100000000000001" customHeight="1" x14ac:dyDescent="0.2">
      <c r="A23" s="23">
        <v>14</v>
      </c>
      <c r="B23" s="23" t="s">
        <v>30</v>
      </c>
      <c r="C23" s="23"/>
      <c r="D23" s="32" t="s">
        <v>382</v>
      </c>
      <c r="E23" s="66">
        <v>12.875999999999999</v>
      </c>
      <c r="F23" s="25"/>
    </row>
    <row r="24" spans="1:6" ht="20.100000000000001" customHeight="1" x14ac:dyDescent="0.2">
      <c r="A24" s="1">
        <v>15</v>
      </c>
      <c r="B24" s="14" t="s">
        <v>31</v>
      </c>
      <c r="C24" s="14"/>
      <c r="D24" s="40" t="s">
        <v>385</v>
      </c>
      <c r="E24" s="67">
        <v>12.981</v>
      </c>
      <c r="F24" s="15"/>
    </row>
    <row r="25" spans="1:6" ht="20.100000000000001" customHeight="1" x14ac:dyDescent="0.2">
      <c r="A25" s="1">
        <v>16</v>
      </c>
      <c r="B25" s="14" t="s">
        <v>32</v>
      </c>
      <c r="C25" s="14"/>
      <c r="D25" s="40" t="s">
        <v>386</v>
      </c>
      <c r="E25" s="67">
        <v>12.725</v>
      </c>
      <c r="F25" s="15"/>
    </row>
    <row r="26" spans="1:6" ht="20.100000000000001" customHeight="1" x14ac:dyDescent="0.2">
      <c r="A26" s="23">
        <v>17</v>
      </c>
      <c r="B26" s="23" t="s">
        <v>33</v>
      </c>
      <c r="C26" s="24" t="s">
        <v>149</v>
      </c>
      <c r="D26" s="24" t="s">
        <v>140</v>
      </c>
      <c r="E26" s="66"/>
      <c r="F26" s="25"/>
    </row>
    <row r="27" spans="1:6" ht="20.100000000000001" customHeight="1" x14ac:dyDescent="0.2">
      <c r="A27" s="23">
        <v>18</v>
      </c>
      <c r="B27" s="23" t="s">
        <v>34</v>
      </c>
      <c r="C27" s="24" t="s">
        <v>152</v>
      </c>
      <c r="D27" s="24" t="s">
        <v>139</v>
      </c>
      <c r="E27" s="66"/>
      <c r="F27" s="25"/>
    </row>
    <row r="28" spans="1:6" ht="20.100000000000001" customHeight="1" x14ac:dyDescent="0.2">
      <c r="A28" s="1">
        <v>19</v>
      </c>
      <c r="B28" s="14" t="s">
        <v>35</v>
      </c>
      <c r="C28" s="1"/>
      <c r="D28" s="40" t="s">
        <v>387</v>
      </c>
      <c r="E28" s="67">
        <v>12.675000000000001</v>
      </c>
      <c r="F28" s="15"/>
    </row>
    <row r="29" spans="1:6" ht="20.100000000000001" customHeight="1" x14ac:dyDescent="0.2">
      <c r="A29" s="1">
        <v>20</v>
      </c>
      <c r="B29" s="14" t="s">
        <v>36</v>
      </c>
      <c r="C29" s="13"/>
      <c r="D29" s="39" t="s">
        <v>388</v>
      </c>
      <c r="E29" s="67">
        <v>12.728</v>
      </c>
      <c r="F29" s="15"/>
    </row>
    <row r="30" spans="1:6" ht="20.100000000000001" customHeight="1" x14ac:dyDescent="0.2">
      <c r="A30" s="23">
        <v>21</v>
      </c>
      <c r="B30" s="23" t="s">
        <v>37</v>
      </c>
      <c r="C30" s="23"/>
      <c r="D30" s="32" t="s">
        <v>389</v>
      </c>
      <c r="E30" s="66">
        <v>12.462</v>
      </c>
      <c r="F30" s="25"/>
    </row>
    <row r="31" spans="1:6" ht="20.100000000000001" customHeight="1" x14ac:dyDescent="0.2">
      <c r="A31" s="23">
        <v>22</v>
      </c>
      <c r="B31" s="23" t="s">
        <v>38</v>
      </c>
      <c r="C31" s="23"/>
      <c r="D31" s="32" t="s">
        <v>390</v>
      </c>
      <c r="E31" s="66">
        <v>12.827</v>
      </c>
      <c r="F31" s="25"/>
    </row>
    <row r="32" spans="1:6" ht="20.100000000000001" customHeight="1" x14ac:dyDescent="0.2">
      <c r="A32" s="1">
        <v>23</v>
      </c>
      <c r="B32" s="14" t="s">
        <v>39</v>
      </c>
      <c r="C32" s="14"/>
      <c r="D32" s="39" t="s">
        <v>391</v>
      </c>
      <c r="E32" s="67">
        <v>12.509</v>
      </c>
      <c r="F32" s="15"/>
    </row>
    <row r="33" spans="1:6" ht="20.100000000000001" customHeight="1" x14ac:dyDescent="0.2">
      <c r="A33" s="1">
        <v>24</v>
      </c>
      <c r="B33" s="14" t="s">
        <v>40</v>
      </c>
      <c r="C33" s="14"/>
      <c r="D33" s="39" t="s">
        <v>392</v>
      </c>
      <c r="E33" s="67">
        <v>12.989000000000001</v>
      </c>
      <c r="F33" s="15"/>
    </row>
    <row r="34" spans="1:6" ht="20.100000000000001" customHeight="1" x14ac:dyDescent="0.2">
      <c r="A34" s="23">
        <v>25</v>
      </c>
      <c r="B34" s="23" t="s">
        <v>41</v>
      </c>
      <c r="C34" s="23"/>
      <c r="D34" s="32" t="s">
        <v>393</v>
      </c>
      <c r="E34" s="66">
        <v>12.723000000000001</v>
      </c>
      <c r="F34" s="25"/>
    </row>
    <row r="35" spans="1:6" ht="20.100000000000001" customHeight="1" x14ac:dyDescent="0.2">
      <c r="A35" s="23">
        <v>26</v>
      </c>
      <c r="B35" s="23" t="s">
        <v>42</v>
      </c>
      <c r="C35" s="23"/>
      <c r="D35" s="32" t="s">
        <v>394</v>
      </c>
      <c r="E35" s="66">
        <v>12.688000000000001</v>
      </c>
      <c r="F35" s="25"/>
    </row>
    <row r="36" spans="1:6" ht="20.100000000000001" customHeight="1" x14ac:dyDescent="0.2">
      <c r="A36" s="1">
        <v>27</v>
      </c>
      <c r="B36" s="14" t="s">
        <v>43</v>
      </c>
      <c r="C36" s="14"/>
      <c r="D36" s="40" t="s">
        <v>395</v>
      </c>
      <c r="E36" s="67">
        <v>12.901999999999999</v>
      </c>
      <c r="F36" s="15"/>
    </row>
    <row r="37" spans="1:6" ht="20.100000000000001" customHeight="1" x14ac:dyDescent="0.2">
      <c r="A37" s="1">
        <v>28</v>
      </c>
      <c r="B37" s="14" t="s">
        <v>44</v>
      </c>
      <c r="C37" s="14"/>
      <c r="D37" s="40" t="s">
        <v>396</v>
      </c>
      <c r="E37" s="67">
        <v>12.502000000000001</v>
      </c>
      <c r="F37" s="15"/>
    </row>
    <row r="38" spans="1:6" ht="20.100000000000001" customHeight="1" x14ac:dyDescent="0.2">
      <c r="A38" s="23">
        <v>29</v>
      </c>
      <c r="B38" s="23" t="s">
        <v>45</v>
      </c>
      <c r="C38" s="23"/>
      <c r="D38" s="32" t="s">
        <v>397</v>
      </c>
      <c r="E38" s="66">
        <v>12.9</v>
      </c>
      <c r="F38" s="25"/>
    </row>
    <row r="39" spans="1:6" ht="20.100000000000001" customHeight="1" x14ac:dyDescent="0.2">
      <c r="A39" s="23">
        <v>30</v>
      </c>
      <c r="B39" s="23" t="s">
        <v>46</v>
      </c>
      <c r="C39" s="23"/>
      <c r="D39" s="32" t="s">
        <v>398</v>
      </c>
      <c r="E39" s="66">
        <v>12.445</v>
      </c>
      <c r="F39" s="25"/>
    </row>
    <row r="40" spans="1:6" ht="20.100000000000001" customHeight="1" x14ac:dyDescent="0.2">
      <c r="A40" s="14">
        <v>31</v>
      </c>
      <c r="B40" s="14" t="s">
        <v>47</v>
      </c>
      <c r="C40" s="13" t="s">
        <v>148</v>
      </c>
      <c r="D40" s="13" t="s">
        <v>140</v>
      </c>
      <c r="E40" s="67"/>
      <c r="F40" s="15"/>
    </row>
    <row r="41" spans="1:6" ht="20.100000000000001" customHeight="1" x14ac:dyDescent="0.2">
      <c r="A41" s="14">
        <v>32</v>
      </c>
      <c r="B41" s="14" t="s">
        <v>48</v>
      </c>
      <c r="C41" s="13" t="s">
        <v>153</v>
      </c>
      <c r="D41" s="13" t="s">
        <v>139</v>
      </c>
      <c r="E41" s="67"/>
      <c r="F41" s="15"/>
    </row>
    <row r="42" spans="1:6" ht="20.100000000000001" customHeight="1" x14ac:dyDescent="0.2">
      <c r="A42" s="23">
        <v>33</v>
      </c>
      <c r="B42" s="23" t="s">
        <v>49</v>
      </c>
      <c r="C42" s="24"/>
      <c r="D42" s="32" t="s">
        <v>399</v>
      </c>
      <c r="E42" s="66">
        <v>12.664999999999999</v>
      </c>
      <c r="F42" s="25"/>
    </row>
    <row r="43" spans="1:6" ht="20.100000000000001" customHeight="1" x14ac:dyDescent="0.2">
      <c r="A43" s="23">
        <v>34</v>
      </c>
      <c r="B43" s="23" t="s">
        <v>50</v>
      </c>
      <c r="C43" s="24"/>
      <c r="D43" s="32" t="s">
        <v>400</v>
      </c>
      <c r="E43" s="66">
        <v>12.032</v>
      </c>
      <c r="F43" s="25"/>
    </row>
    <row r="44" spans="1:6" ht="20.100000000000001" customHeight="1" x14ac:dyDescent="0.2">
      <c r="A44" s="1">
        <v>35</v>
      </c>
      <c r="B44" s="14" t="s">
        <v>51</v>
      </c>
      <c r="C44" s="13"/>
      <c r="D44" s="39" t="s">
        <v>401</v>
      </c>
      <c r="E44" s="67">
        <v>12.51</v>
      </c>
      <c r="F44" s="15"/>
    </row>
    <row r="45" spans="1:6" ht="20.100000000000001" customHeight="1" x14ac:dyDescent="0.2">
      <c r="A45" s="1">
        <v>36</v>
      </c>
      <c r="B45" s="14" t="s">
        <v>52</v>
      </c>
      <c r="C45" s="14"/>
      <c r="D45" s="39" t="s">
        <v>402</v>
      </c>
      <c r="E45" s="67">
        <v>12.727</v>
      </c>
      <c r="F45" s="15"/>
    </row>
    <row r="46" spans="1:6" ht="20.100000000000001" customHeight="1" x14ac:dyDescent="0.2">
      <c r="A46" s="23">
        <v>37</v>
      </c>
      <c r="B46" s="23" t="s">
        <v>53</v>
      </c>
      <c r="C46" s="23"/>
      <c r="D46" s="32" t="s">
        <v>403</v>
      </c>
      <c r="E46" s="66">
        <v>12.842000000000001</v>
      </c>
      <c r="F46" s="25"/>
    </row>
    <row r="47" spans="1:6" ht="20.100000000000001" customHeight="1" x14ac:dyDescent="0.2">
      <c r="A47" s="23">
        <v>38</v>
      </c>
      <c r="B47" s="23" t="s">
        <v>54</v>
      </c>
      <c r="C47" s="23"/>
      <c r="D47" s="32" t="s">
        <v>404</v>
      </c>
      <c r="E47" s="66">
        <v>12.355</v>
      </c>
      <c r="F47" s="25"/>
    </row>
    <row r="48" spans="1:6" ht="20.100000000000001" customHeight="1" x14ac:dyDescent="0.2">
      <c r="A48" s="1">
        <v>39</v>
      </c>
      <c r="B48" s="14" t="s">
        <v>55</v>
      </c>
      <c r="C48" s="14"/>
      <c r="D48" s="40" t="s">
        <v>412</v>
      </c>
      <c r="E48" s="67">
        <v>12.483000000000001</v>
      </c>
      <c r="F48" s="15"/>
    </row>
    <row r="49" spans="1:6" ht="20.100000000000001" customHeight="1" x14ac:dyDescent="0.2">
      <c r="A49" s="1">
        <v>40</v>
      </c>
      <c r="B49" s="14" t="s">
        <v>56</v>
      </c>
      <c r="C49" s="14"/>
      <c r="D49" s="40" t="s">
        <v>405</v>
      </c>
      <c r="E49" s="67">
        <v>12.599</v>
      </c>
      <c r="F49" s="15"/>
    </row>
    <row r="50" spans="1:6" ht="20.100000000000001" customHeight="1" x14ac:dyDescent="0.2">
      <c r="A50" s="23">
        <v>41</v>
      </c>
      <c r="B50" s="23" t="s">
        <v>57</v>
      </c>
      <c r="C50" s="23"/>
      <c r="D50" s="32" t="s">
        <v>406</v>
      </c>
      <c r="E50" s="66">
        <v>12.125</v>
      </c>
      <c r="F50" s="25"/>
    </row>
    <row r="51" spans="1:6" ht="20.100000000000001" customHeight="1" x14ac:dyDescent="0.2">
      <c r="A51" s="23">
        <v>42</v>
      </c>
      <c r="B51" s="23" t="s">
        <v>58</v>
      </c>
      <c r="C51" s="23"/>
      <c r="D51" s="32" t="s">
        <v>407</v>
      </c>
      <c r="E51" s="66">
        <v>12.413</v>
      </c>
      <c r="F51" s="25"/>
    </row>
    <row r="52" spans="1:6" ht="20.100000000000001" customHeight="1" x14ac:dyDescent="0.2">
      <c r="A52" s="1">
        <v>43</v>
      </c>
      <c r="B52" s="14" t="s">
        <v>59</v>
      </c>
      <c r="C52" s="14"/>
      <c r="D52" s="52" t="s">
        <v>408</v>
      </c>
      <c r="E52" s="67">
        <v>12.393000000000001</v>
      </c>
      <c r="F52" s="15"/>
    </row>
    <row r="53" spans="1:6" ht="20.100000000000001" customHeight="1" x14ac:dyDescent="0.2">
      <c r="A53" s="1">
        <v>44</v>
      </c>
      <c r="B53" s="14" t="s">
        <v>60</v>
      </c>
      <c r="C53" s="14"/>
      <c r="D53" s="39" t="s">
        <v>409</v>
      </c>
      <c r="E53" s="67">
        <v>12.618</v>
      </c>
      <c r="F53" s="15"/>
    </row>
    <row r="54" spans="1:6" ht="20.100000000000001" customHeight="1" x14ac:dyDescent="0.2">
      <c r="A54" s="23">
        <v>45</v>
      </c>
      <c r="B54" s="23" t="s">
        <v>61</v>
      </c>
      <c r="C54" s="24" t="s">
        <v>147</v>
      </c>
      <c r="D54" s="24" t="s">
        <v>140</v>
      </c>
      <c r="E54" s="66"/>
      <c r="F54" s="25"/>
    </row>
    <row r="55" spans="1:6" ht="20.100000000000001" customHeight="1" x14ac:dyDescent="0.2">
      <c r="A55" s="23">
        <v>46</v>
      </c>
      <c r="B55" s="23" t="s">
        <v>62</v>
      </c>
      <c r="C55" s="24" t="s">
        <v>154</v>
      </c>
      <c r="D55" s="24" t="s">
        <v>139</v>
      </c>
      <c r="E55" s="66"/>
      <c r="F55" s="25"/>
    </row>
    <row r="56" spans="1:6" ht="20.100000000000001" customHeight="1" x14ac:dyDescent="0.2">
      <c r="A56" s="1">
        <v>47</v>
      </c>
      <c r="B56" s="14" t="s">
        <v>63</v>
      </c>
      <c r="C56" s="13"/>
      <c r="D56" s="39" t="s">
        <v>410</v>
      </c>
      <c r="E56" s="67">
        <v>12.193</v>
      </c>
      <c r="F56" s="15"/>
    </row>
    <row r="57" spans="1:6" ht="20.100000000000001" customHeight="1" x14ac:dyDescent="0.2">
      <c r="A57" s="1">
        <v>48</v>
      </c>
      <c r="B57" s="14" t="s">
        <v>64</v>
      </c>
      <c r="C57" s="13"/>
      <c r="D57" s="39" t="s">
        <v>411</v>
      </c>
      <c r="E57" s="67">
        <v>12.446999999999999</v>
      </c>
      <c r="F57" s="15"/>
    </row>
    <row r="58" spans="1:6" ht="20.100000000000001" customHeight="1" x14ac:dyDescent="0.2">
      <c r="A58" s="23">
        <v>49</v>
      </c>
      <c r="B58" s="23" t="s">
        <v>65</v>
      </c>
      <c r="C58" s="24"/>
      <c r="D58" s="32" t="s">
        <v>413</v>
      </c>
      <c r="E58" s="66">
        <v>14.699</v>
      </c>
      <c r="F58" s="25" t="s">
        <v>427</v>
      </c>
    </row>
    <row r="59" spans="1:6" ht="20.100000000000001" customHeight="1" x14ac:dyDescent="0.2">
      <c r="A59" s="23">
        <v>50</v>
      </c>
      <c r="B59" s="23" t="s">
        <v>66</v>
      </c>
      <c r="C59" s="24"/>
      <c r="D59" s="32" t="s">
        <v>414</v>
      </c>
      <c r="E59" s="66">
        <v>15.692</v>
      </c>
      <c r="F59" s="25"/>
    </row>
    <row r="60" spans="1:6" ht="20.100000000000001" customHeight="1" x14ac:dyDescent="0.2">
      <c r="A60" s="14">
        <v>51</v>
      </c>
      <c r="B60" s="14" t="s">
        <v>67</v>
      </c>
      <c r="C60" s="13"/>
      <c r="D60" s="39" t="s">
        <v>415</v>
      </c>
      <c r="E60" s="67">
        <v>14.840999999999999</v>
      </c>
      <c r="F60" s="15"/>
    </row>
    <row r="61" spans="1:6" ht="20.100000000000001" customHeight="1" x14ac:dyDescent="0.2">
      <c r="A61" s="14">
        <v>52</v>
      </c>
      <c r="B61" s="14" t="s">
        <v>68</v>
      </c>
      <c r="C61" s="13"/>
      <c r="D61" s="39" t="s">
        <v>416</v>
      </c>
      <c r="E61" s="67">
        <v>14.927</v>
      </c>
      <c r="F61" s="15"/>
    </row>
    <row r="62" spans="1:6" ht="20.100000000000001" customHeight="1" x14ac:dyDescent="0.2">
      <c r="A62" s="23">
        <v>53</v>
      </c>
      <c r="B62" s="23" t="s">
        <v>69</v>
      </c>
      <c r="C62" s="23"/>
      <c r="D62" s="32" t="s">
        <v>417</v>
      </c>
      <c r="E62" s="66">
        <v>15.801</v>
      </c>
      <c r="F62" s="23"/>
    </row>
    <row r="63" spans="1:6" ht="20.100000000000001" customHeight="1" x14ac:dyDescent="0.2">
      <c r="A63" s="23">
        <v>54</v>
      </c>
      <c r="B63" s="23" t="s">
        <v>70</v>
      </c>
      <c r="C63" s="23"/>
      <c r="D63" s="32" t="s">
        <v>418</v>
      </c>
      <c r="E63" s="66">
        <v>15.622</v>
      </c>
      <c r="F63" s="23"/>
    </row>
    <row r="64" spans="1:6" ht="20.100000000000001" customHeight="1" x14ac:dyDescent="0.2">
      <c r="A64" s="14">
        <v>55</v>
      </c>
      <c r="B64" s="14" t="s">
        <v>71</v>
      </c>
      <c r="C64" s="14"/>
      <c r="D64" s="39" t="s">
        <v>419</v>
      </c>
      <c r="E64" s="67">
        <v>14.513</v>
      </c>
      <c r="F64" s="14"/>
    </row>
    <row r="65" spans="1:6" ht="20.100000000000001" customHeight="1" x14ac:dyDescent="0.2">
      <c r="A65" s="14">
        <v>56</v>
      </c>
      <c r="B65" s="14" t="s">
        <v>72</v>
      </c>
      <c r="C65" s="14"/>
      <c r="D65" s="39" t="s">
        <v>420</v>
      </c>
      <c r="E65" s="67">
        <v>15.477</v>
      </c>
      <c r="F65" s="14"/>
    </row>
    <row r="66" spans="1:6" ht="20.100000000000001" customHeight="1" x14ac:dyDescent="0.2">
      <c r="A66" s="23">
        <v>57</v>
      </c>
      <c r="B66" s="23" t="s">
        <v>73</v>
      </c>
      <c r="C66" s="23"/>
      <c r="D66" s="32" t="s">
        <v>421</v>
      </c>
      <c r="E66" s="66">
        <v>14.092000000000001</v>
      </c>
      <c r="F66" s="23"/>
    </row>
    <row r="67" spans="1:6" ht="20.100000000000001" customHeight="1" x14ac:dyDescent="0.2">
      <c r="A67" s="23">
        <v>58</v>
      </c>
      <c r="B67" s="23" t="s">
        <v>74</v>
      </c>
      <c r="C67" s="23"/>
      <c r="D67" s="32" t="s">
        <v>422</v>
      </c>
      <c r="E67" s="66">
        <v>15.72</v>
      </c>
      <c r="F67" s="23"/>
    </row>
    <row r="68" spans="1:6" ht="20.100000000000001" customHeight="1" x14ac:dyDescent="0.2">
      <c r="A68" s="14">
        <v>59</v>
      </c>
      <c r="B68" s="14" t="s">
        <v>75</v>
      </c>
      <c r="C68" s="13" t="s">
        <v>146</v>
      </c>
      <c r="D68" s="13" t="s">
        <v>140</v>
      </c>
      <c r="E68" s="67"/>
      <c r="F68" s="14"/>
    </row>
    <row r="69" spans="1:6" ht="20.100000000000001" customHeight="1" x14ac:dyDescent="0.2">
      <c r="A69" s="14">
        <v>60</v>
      </c>
      <c r="B69" s="14" t="s">
        <v>76</v>
      </c>
      <c r="C69" s="13" t="s">
        <v>155</v>
      </c>
      <c r="D69" s="13" t="s">
        <v>139</v>
      </c>
      <c r="E69" s="67"/>
      <c r="F69" s="14"/>
    </row>
    <row r="70" spans="1:6" ht="20.100000000000001" customHeight="1" x14ac:dyDescent="0.2">
      <c r="A70" s="23">
        <v>61</v>
      </c>
      <c r="B70" s="23" t="s">
        <v>77</v>
      </c>
      <c r="C70" s="23"/>
      <c r="D70" s="32" t="s">
        <v>423</v>
      </c>
      <c r="E70" s="66">
        <v>14.35</v>
      </c>
      <c r="F70" s="23"/>
    </row>
    <row r="71" spans="1:6" ht="20.100000000000001" customHeight="1" x14ac:dyDescent="0.2">
      <c r="A71" s="23">
        <v>62</v>
      </c>
      <c r="B71" s="23" t="s">
        <v>78</v>
      </c>
      <c r="C71" s="23"/>
      <c r="D71" s="32" t="s">
        <v>424</v>
      </c>
      <c r="E71" s="66">
        <v>15.529</v>
      </c>
      <c r="F71" s="23"/>
    </row>
    <row r="72" spans="1:6" ht="20.100000000000001" customHeight="1" x14ac:dyDescent="0.2">
      <c r="A72" s="14">
        <v>63</v>
      </c>
      <c r="B72" s="14" t="s">
        <v>79</v>
      </c>
      <c r="C72" s="14"/>
      <c r="D72" s="52" t="s">
        <v>425</v>
      </c>
      <c r="E72" s="67">
        <v>14.191000000000001</v>
      </c>
      <c r="F72" s="14"/>
    </row>
    <row r="73" spans="1:6" ht="20.100000000000001" customHeight="1" x14ac:dyDescent="0.2">
      <c r="A73" s="14">
        <v>64</v>
      </c>
      <c r="B73" s="14" t="s">
        <v>80</v>
      </c>
      <c r="C73" s="14"/>
      <c r="D73" s="52" t="s">
        <v>426</v>
      </c>
      <c r="E73" s="67">
        <v>14.29</v>
      </c>
      <c r="F73" s="14"/>
    </row>
    <row r="74" spans="1:6" ht="20.100000000000001" customHeight="1" x14ac:dyDescent="0.2">
      <c r="A74" s="23">
        <v>65</v>
      </c>
      <c r="B74" s="23" t="s">
        <v>81</v>
      </c>
      <c r="C74" s="23"/>
      <c r="D74" s="32"/>
      <c r="E74" s="66"/>
      <c r="F74" s="23"/>
    </row>
    <row r="75" spans="1:6" ht="20.100000000000001" customHeight="1" x14ac:dyDescent="0.2">
      <c r="A75" s="23">
        <v>66</v>
      </c>
      <c r="B75" s="23" t="s">
        <v>82</v>
      </c>
      <c r="C75" s="23"/>
      <c r="D75" s="32"/>
      <c r="E75" s="66"/>
      <c r="F75" s="23"/>
    </row>
    <row r="76" spans="1:6" ht="20.100000000000001" customHeight="1" x14ac:dyDescent="0.2">
      <c r="A76" s="14">
        <v>67</v>
      </c>
      <c r="B76" s="14" t="s">
        <v>83</v>
      </c>
      <c r="C76" s="14"/>
      <c r="D76" s="39"/>
      <c r="E76" s="67"/>
      <c r="F76" s="14"/>
    </row>
    <row r="77" spans="1:6" ht="20.100000000000001" customHeight="1" x14ac:dyDescent="0.2">
      <c r="A77" s="14">
        <v>68</v>
      </c>
      <c r="B77" s="14" t="s">
        <v>84</v>
      </c>
      <c r="C77" s="14"/>
      <c r="D77" s="39"/>
      <c r="E77" s="67"/>
      <c r="F77" s="14"/>
    </row>
    <row r="78" spans="1:6" ht="20.100000000000001" customHeight="1" x14ac:dyDescent="0.2">
      <c r="A78" s="23">
        <v>69</v>
      </c>
      <c r="B78" s="23" t="s">
        <v>85</v>
      </c>
      <c r="C78" s="23"/>
      <c r="D78" s="32"/>
      <c r="E78" s="66"/>
      <c r="F78" s="23"/>
    </row>
    <row r="79" spans="1:6" ht="20.100000000000001" customHeight="1" x14ac:dyDescent="0.2">
      <c r="A79" s="23">
        <v>70</v>
      </c>
      <c r="B79" s="23" t="s">
        <v>86</v>
      </c>
      <c r="C79" s="23"/>
      <c r="D79" s="32"/>
      <c r="E79" s="66"/>
      <c r="F79" s="23"/>
    </row>
    <row r="80" spans="1:6" ht="20.100000000000001" customHeight="1" x14ac:dyDescent="0.2">
      <c r="A80" s="14">
        <v>71</v>
      </c>
      <c r="B80" s="14" t="s">
        <v>87</v>
      </c>
      <c r="C80" s="14"/>
      <c r="D80" s="39"/>
      <c r="E80" s="67"/>
      <c r="F80" s="14"/>
    </row>
    <row r="81" spans="1:6" ht="20.100000000000001" customHeight="1" x14ac:dyDescent="0.2">
      <c r="A81" s="14">
        <v>72</v>
      </c>
      <c r="B81" s="14" t="s">
        <v>88</v>
      </c>
      <c r="C81" s="14"/>
      <c r="D81" s="39"/>
      <c r="E81" s="67"/>
      <c r="F81" s="14"/>
    </row>
    <row r="82" spans="1:6" ht="20.100000000000001" customHeight="1" x14ac:dyDescent="0.2">
      <c r="A82" s="23">
        <v>73</v>
      </c>
      <c r="B82" s="23" t="s">
        <v>89</v>
      </c>
      <c r="C82" s="24" t="s">
        <v>145</v>
      </c>
      <c r="D82" s="24" t="s">
        <v>140</v>
      </c>
      <c r="E82" s="76"/>
      <c r="F82" s="23"/>
    </row>
    <row r="83" spans="1:6" ht="20.100000000000001" customHeight="1" x14ac:dyDescent="0.2">
      <c r="A83" s="23">
        <v>74</v>
      </c>
      <c r="B83" s="23" t="s">
        <v>90</v>
      </c>
      <c r="C83" s="24" t="s">
        <v>156</v>
      </c>
      <c r="D83" s="24" t="s">
        <v>139</v>
      </c>
      <c r="E83" s="76"/>
      <c r="F83" s="23"/>
    </row>
    <row r="84" spans="1:6" ht="20.100000000000001" customHeight="1" x14ac:dyDescent="0.2">
      <c r="A84" s="14">
        <v>75</v>
      </c>
      <c r="B84" s="14" t="s">
        <v>91</v>
      </c>
      <c r="C84" s="14"/>
      <c r="D84" s="39"/>
      <c r="E84" s="77"/>
      <c r="F84" s="14"/>
    </row>
    <row r="85" spans="1:6" ht="20.100000000000001" customHeight="1" x14ac:dyDescent="0.2">
      <c r="A85" s="14">
        <v>76</v>
      </c>
      <c r="B85" s="14" t="s">
        <v>92</v>
      </c>
      <c r="C85" s="14"/>
      <c r="D85" s="39"/>
      <c r="E85" s="77"/>
      <c r="F85" s="14"/>
    </row>
    <row r="86" spans="1:6" ht="20.100000000000001" customHeight="1" x14ac:dyDescent="0.2">
      <c r="A86" s="23">
        <v>77</v>
      </c>
      <c r="B86" s="23" t="s">
        <v>93</v>
      </c>
      <c r="C86" s="23"/>
      <c r="D86" s="32"/>
      <c r="E86" s="76"/>
      <c r="F86" s="23"/>
    </row>
    <row r="87" spans="1:6" ht="20.100000000000001" customHeight="1" x14ac:dyDescent="0.2">
      <c r="A87" s="23">
        <v>78</v>
      </c>
      <c r="B87" s="23" t="s">
        <v>94</v>
      </c>
      <c r="C87" s="23"/>
      <c r="D87" s="32"/>
      <c r="E87" s="76"/>
      <c r="F87" s="23"/>
    </row>
    <row r="88" spans="1:6" ht="20.100000000000001" customHeight="1" x14ac:dyDescent="0.2">
      <c r="A88" s="14">
        <v>79</v>
      </c>
      <c r="B88" s="14" t="s">
        <v>95</v>
      </c>
      <c r="C88" s="14"/>
      <c r="D88" s="39"/>
      <c r="E88" s="77"/>
      <c r="F88" s="14"/>
    </row>
    <row r="89" spans="1:6" ht="20.100000000000001" customHeight="1" x14ac:dyDescent="0.2">
      <c r="A89" s="14">
        <v>80</v>
      </c>
      <c r="B89" s="14" t="s">
        <v>96</v>
      </c>
      <c r="C89" s="14"/>
      <c r="D89" s="39"/>
      <c r="E89" s="77"/>
      <c r="F89" s="14"/>
    </row>
    <row r="90" spans="1:6" ht="20.100000000000001" customHeight="1" x14ac:dyDescent="0.2">
      <c r="A90" s="23">
        <v>81</v>
      </c>
      <c r="B90" s="23" t="s">
        <v>97</v>
      </c>
      <c r="C90" s="23"/>
      <c r="D90" s="32"/>
      <c r="E90" s="76"/>
      <c r="F90" s="23"/>
    </row>
    <row r="91" spans="1:6" ht="20.100000000000001" customHeight="1" x14ac:dyDescent="0.2">
      <c r="A91" s="23">
        <v>82</v>
      </c>
      <c r="B91" s="23" t="s">
        <v>98</v>
      </c>
      <c r="C91" s="23"/>
      <c r="D91" s="32"/>
      <c r="E91" s="76"/>
      <c r="F91" s="23"/>
    </row>
    <row r="92" spans="1:6" ht="20.100000000000001" customHeight="1" x14ac:dyDescent="0.2">
      <c r="A92" s="14">
        <v>83</v>
      </c>
      <c r="B92" s="14" t="s">
        <v>99</v>
      </c>
      <c r="C92" s="14"/>
      <c r="D92" s="39"/>
      <c r="E92" s="77"/>
      <c r="F92" s="14"/>
    </row>
    <row r="93" spans="1:6" ht="20.100000000000001" customHeight="1" x14ac:dyDescent="0.2">
      <c r="A93" s="14">
        <v>84</v>
      </c>
      <c r="B93" s="14" t="s">
        <v>100</v>
      </c>
      <c r="C93" s="14"/>
      <c r="D93" s="39"/>
      <c r="E93" s="77"/>
      <c r="F93" s="14"/>
    </row>
    <row r="94" spans="1:6" ht="20.100000000000001" customHeight="1" x14ac:dyDescent="0.2">
      <c r="A94" s="23">
        <v>85</v>
      </c>
      <c r="B94" s="23" t="s">
        <v>101</v>
      </c>
      <c r="C94" s="23"/>
      <c r="D94" s="32"/>
      <c r="E94" s="76"/>
      <c r="F94" s="23"/>
    </row>
    <row r="95" spans="1:6" ht="20.100000000000001" customHeight="1" x14ac:dyDescent="0.2">
      <c r="A95" s="23">
        <v>86</v>
      </c>
      <c r="B95" s="23" t="s">
        <v>102</v>
      </c>
      <c r="C95" s="23"/>
      <c r="D95" s="32"/>
      <c r="E95" s="76"/>
      <c r="F95" s="23"/>
    </row>
    <row r="96" spans="1:6" ht="20.100000000000001" customHeight="1" x14ac:dyDescent="0.2">
      <c r="A96" s="14">
        <v>87</v>
      </c>
      <c r="B96" s="14" t="s">
        <v>103</v>
      </c>
      <c r="C96" s="13" t="s">
        <v>143</v>
      </c>
      <c r="D96" s="13" t="s">
        <v>140</v>
      </c>
      <c r="E96" s="77"/>
      <c r="F96" s="14"/>
    </row>
    <row r="97" spans="1:6" ht="20.100000000000001" customHeight="1" x14ac:dyDescent="0.2">
      <c r="A97" s="14">
        <v>88</v>
      </c>
      <c r="B97" s="14" t="s">
        <v>104</v>
      </c>
      <c r="C97" s="13" t="s">
        <v>157</v>
      </c>
      <c r="D97" s="13" t="s">
        <v>139</v>
      </c>
      <c r="E97" s="77"/>
      <c r="F97" s="14"/>
    </row>
    <row r="98" spans="1:6" ht="20.100000000000001" customHeight="1" x14ac:dyDescent="0.2">
      <c r="A98" s="23">
        <v>89</v>
      </c>
      <c r="B98" s="23" t="s">
        <v>105</v>
      </c>
      <c r="C98" s="23"/>
      <c r="D98" s="32"/>
      <c r="E98" s="76"/>
      <c r="F98" s="23"/>
    </row>
    <row r="99" spans="1:6" ht="20.100000000000001" customHeight="1" x14ac:dyDescent="0.2">
      <c r="A99" s="23">
        <v>90</v>
      </c>
      <c r="B99" s="23" t="s">
        <v>106</v>
      </c>
      <c r="C99" s="23"/>
      <c r="D99" s="32"/>
      <c r="E99" s="76"/>
      <c r="F99" s="23"/>
    </row>
    <row r="100" spans="1:6" ht="20.100000000000001" customHeight="1" x14ac:dyDescent="0.2">
      <c r="A100" s="14">
        <v>91</v>
      </c>
      <c r="B100" s="14" t="s">
        <v>107</v>
      </c>
      <c r="C100" s="14"/>
      <c r="D100" s="39"/>
      <c r="E100" s="77"/>
      <c r="F100" s="14"/>
    </row>
    <row r="101" spans="1:6" ht="20.100000000000001" customHeight="1" x14ac:dyDescent="0.2">
      <c r="A101" s="14">
        <v>92</v>
      </c>
      <c r="B101" s="14" t="s">
        <v>108</v>
      </c>
      <c r="C101" s="14"/>
      <c r="D101" s="39"/>
      <c r="E101" s="77"/>
      <c r="F101" s="14"/>
    </row>
    <row r="102" spans="1:6" ht="20.100000000000001" customHeight="1" x14ac:dyDescent="0.2">
      <c r="A102" s="23">
        <v>93</v>
      </c>
      <c r="B102" s="23" t="s">
        <v>109</v>
      </c>
      <c r="C102" s="23"/>
      <c r="D102" s="32"/>
      <c r="E102" s="76"/>
      <c r="F102" s="23"/>
    </row>
    <row r="103" spans="1:6" ht="20.100000000000001" customHeight="1" x14ac:dyDescent="0.2">
      <c r="A103" s="23">
        <v>94</v>
      </c>
      <c r="B103" s="23" t="s">
        <v>110</v>
      </c>
      <c r="C103" s="23"/>
      <c r="D103" s="32"/>
      <c r="E103" s="76"/>
      <c r="F103" s="23"/>
    </row>
    <row r="104" spans="1:6" ht="20.100000000000001" customHeight="1" x14ac:dyDescent="0.2">
      <c r="A104" s="14">
        <v>95</v>
      </c>
      <c r="B104" s="14" t="s">
        <v>111</v>
      </c>
      <c r="C104" s="14"/>
      <c r="D104" s="39"/>
      <c r="E104" s="77"/>
      <c r="F104" s="14"/>
    </row>
    <row r="105" spans="1:6" ht="20.100000000000001" customHeight="1" x14ac:dyDescent="0.2">
      <c r="A105" s="14">
        <v>96</v>
      </c>
      <c r="B105" s="14" t="s">
        <v>112</v>
      </c>
      <c r="C105" s="14"/>
      <c r="D105" s="39"/>
      <c r="E105" s="77"/>
      <c r="F105" s="14"/>
    </row>
    <row r="106" spans="1:6" ht="20.100000000000001" customHeight="1" x14ac:dyDescent="0.2">
      <c r="A106" s="23">
        <v>97</v>
      </c>
      <c r="B106" s="23" t="s">
        <v>113</v>
      </c>
      <c r="C106" s="23"/>
      <c r="D106" s="32"/>
      <c r="E106" s="76"/>
      <c r="F106" s="23"/>
    </row>
    <row r="107" spans="1:6" ht="20.100000000000001" customHeight="1" x14ac:dyDescent="0.2">
      <c r="A107" s="23">
        <v>98</v>
      </c>
      <c r="B107" s="23" t="s">
        <v>114</v>
      </c>
      <c r="C107" s="23"/>
      <c r="D107" s="32"/>
      <c r="E107" s="76"/>
      <c r="F107" s="23"/>
    </row>
    <row r="108" spans="1:6" ht="20.100000000000001" customHeight="1" x14ac:dyDescent="0.2">
      <c r="A108" s="14">
        <v>99</v>
      </c>
      <c r="B108" s="14" t="s">
        <v>115</v>
      </c>
      <c r="C108" s="14"/>
      <c r="D108" s="39"/>
      <c r="E108" s="77"/>
      <c r="F108" s="14"/>
    </row>
    <row r="109" spans="1:6" ht="20.100000000000001" customHeight="1" x14ac:dyDescent="0.2">
      <c r="A109" s="14">
        <v>100</v>
      </c>
      <c r="B109" s="14" t="s">
        <v>116</v>
      </c>
      <c r="C109" s="14"/>
      <c r="D109" s="39"/>
      <c r="E109" s="77"/>
      <c r="F109" s="14"/>
    </row>
    <row r="110" spans="1:6" ht="20.100000000000001" customHeight="1" x14ac:dyDescent="0.2">
      <c r="A110" s="23">
        <v>101</v>
      </c>
      <c r="B110" s="23" t="s">
        <v>117</v>
      </c>
      <c r="C110" s="23"/>
      <c r="D110" s="32"/>
      <c r="E110" s="76"/>
      <c r="F110" s="23"/>
    </row>
    <row r="111" spans="1:6" ht="20.100000000000001" customHeight="1" x14ac:dyDescent="0.2">
      <c r="A111" s="23">
        <v>102</v>
      </c>
      <c r="B111" s="23" t="s">
        <v>118</v>
      </c>
      <c r="C111" s="24" t="s">
        <v>142</v>
      </c>
      <c r="D111" s="24" t="s">
        <v>140</v>
      </c>
      <c r="E111" s="76"/>
      <c r="F111" s="23"/>
    </row>
    <row r="112" spans="1:6" ht="20.100000000000001" customHeight="1" x14ac:dyDescent="0.2">
      <c r="A112" s="14">
        <v>103</v>
      </c>
      <c r="B112" s="14" t="s">
        <v>119</v>
      </c>
      <c r="C112" s="13" t="s">
        <v>158</v>
      </c>
      <c r="D112" s="13" t="s">
        <v>139</v>
      </c>
      <c r="E112" s="77"/>
      <c r="F112" s="14"/>
    </row>
    <row r="113" spans="1:6" ht="20.100000000000001" customHeight="1" x14ac:dyDescent="0.2">
      <c r="A113" s="14">
        <v>104</v>
      </c>
      <c r="B113" s="14" t="s">
        <v>120</v>
      </c>
      <c r="C113" s="14"/>
      <c r="D113" s="39"/>
      <c r="E113" s="77"/>
      <c r="F113" s="14"/>
    </row>
    <row r="114" spans="1:6" ht="20.100000000000001" customHeight="1" x14ac:dyDescent="0.2">
      <c r="A114" s="23">
        <v>105</v>
      </c>
      <c r="B114" s="23" t="s">
        <v>121</v>
      </c>
      <c r="C114" s="23"/>
      <c r="D114" s="32"/>
      <c r="E114" s="76"/>
      <c r="F114" s="23"/>
    </row>
    <row r="115" spans="1:6" ht="20.100000000000001" customHeight="1" x14ac:dyDescent="0.2">
      <c r="A115" s="23">
        <v>106</v>
      </c>
      <c r="B115" s="23" t="s">
        <v>122</v>
      </c>
      <c r="C115" s="23"/>
      <c r="D115" s="32"/>
      <c r="E115" s="76"/>
      <c r="F115" s="23"/>
    </row>
    <row r="116" spans="1:6" ht="20.100000000000001" customHeight="1" x14ac:dyDescent="0.2">
      <c r="A116" s="14">
        <v>107</v>
      </c>
      <c r="B116" s="14" t="s">
        <v>123</v>
      </c>
      <c r="C116" s="14"/>
      <c r="D116" s="39"/>
      <c r="E116" s="77"/>
      <c r="F116" s="14"/>
    </row>
    <row r="117" spans="1:6" ht="20.100000000000001" customHeight="1" x14ac:dyDescent="0.2">
      <c r="A117" s="14">
        <v>108</v>
      </c>
      <c r="B117" s="14" t="s">
        <v>124</v>
      </c>
      <c r="C117" s="14"/>
      <c r="D117" s="39"/>
      <c r="E117" s="77"/>
      <c r="F117" s="14"/>
    </row>
    <row r="118" spans="1:6" ht="20.100000000000001" customHeight="1" x14ac:dyDescent="0.2">
      <c r="A118" s="23">
        <v>109</v>
      </c>
      <c r="B118" s="23" t="s">
        <v>125</v>
      </c>
      <c r="C118" s="23"/>
      <c r="D118" s="32"/>
      <c r="E118" s="76"/>
      <c r="F118" s="23"/>
    </row>
    <row r="119" spans="1:6" ht="20.100000000000001" customHeight="1" x14ac:dyDescent="0.2">
      <c r="A119" s="23">
        <v>110</v>
      </c>
      <c r="B119" s="23" t="s">
        <v>126</v>
      </c>
      <c r="C119" s="23"/>
      <c r="D119" s="32"/>
      <c r="E119" s="76"/>
      <c r="F119" s="23"/>
    </row>
    <row r="120" spans="1:6" ht="20.100000000000001" customHeight="1" x14ac:dyDescent="0.2">
      <c r="A120" s="14">
        <v>111</v>
      </c>
      <c r="B120" s="14" t="s">
        <v>127</v>
      </c>
      <c r="C120" s="14"/>
      <c r="D120" s="39"/>
      <c r="E120" s="77"/>
      <c r="F120" s="14"/>
    </row>
    <row r="121" spans="1:6" ht="20.100000000000001" customHeight="1" x14ac:dyDescent="0.2">
      <c r="A121" s="14">
        <v>112</v>
      </c>
      <c r="B121" s="14" t="s">
        <v>128</v>
      </c>
      <c r="C121" s="14"/>
      <c r="D121" s="39"/>
      <c r="E121" s="77"/>
      <c r="F121" s="14"/>
    </row>
    <row r="122" spans="1:6" ht="20.100000000000001" customHeight="1" x14ac:dyDescent="0.2">
      <c r="A122" s="23">
        <v>113</v>
      </c>
      <c r="B122" s="23" t="s">
        <v>129</v>
      </c>
      <c r="C122" s="23"/>
      <c r="D122" s="32"/>
      <c r="E122" s="76"/>
      <c r="F122" s="23"/>
    </row>
    <row r="123" spans="1:6" ht="20.100000000000001" customHeight="1" x14ac:dyDescent="0.2">
      <c r="A123" s="23">
        <v>114</v>
      </c>
      <c r="B123" s="23" t="s">
        <v>130</v>
      </c>
      <c r="C123" s="23"/>
      <c r="D123" s="32"/>
      <c r="E123" s="76"/>
      <c r="F123" s="23"/>
    </row>
    <row r="124" spans="1:6" ht="20.100000000000001" customHeight="1" x14ac:dyDescent="0.2">
      <c r="A124" s="14">
        <v>115</v>
      </c>
      <c r="B124" s="14" t="s">
        <v>131</v>
      </c>
      <c r="C124" s="14"/>
      <c r="D124" s="39"/>
      <c r="E124" s="77"/>
      <c r="F124" s="14"/>
    </row>
    <row r="125" spans="1:6" ht="20.100000000000001" customHeight="1" x14ac:dyDescent="0.2">
      <c r="A125" s="14">
        <v>116</v>
      </c>
      <c r="B125" s="14" t="s">
        <v>132</v>
      </c>
      <c r="C125" s="14"/>
      <c r="D125" s="39"/>
      <c r="E125" s="77"/>
      <c r="F125" s="14"/>
    </row>
    <row r="126" spans="1:6" ht="20.100000000000001" customHeight="1" x14ac:dyDescent="0.2">
      <c r="A126" s="23">
        <v>117</v>
      </c>
      <c r="B126" s="23" t="s">
        <v>133</v>
      </c>
      <c r="C126" s="24" t="s">
        <v>136</v>
      </c>
      <c r="D126" s="24" t="s">
        <v>15</v>
      </c>
      <c r="E126" s="76"/>
      <c r="F126" s="23"/>
    </row>
    <row r="127" spans="1:6" ht="20.100000000000001" customHeight="1" x14ac:dyDescent="0.2">
      <c r="A127" s="23">
        <v>118</v>
      </c>
      <c r="B127" s="23" t="s">
        <v>134</v>
      </c>
      <c r="C127" s="24" t="s">
        <v>141</v>
      </c>
      <c r="D127" s="24" t="s">
        <v>140</v>
      </c>
      <c r="E127" s="76"/>
      <c r="F127" s="23"/>
    </row>
    <row r="128" spans="1:6" ht="20.100000000000001" customHeight="1" x14ac:dyDescent="0.2">
      <c r="A128" s="14">
        <v>119</v>
      </c>
      <c r="B128" s="14" t="s">
        <v>135</v>
      </c>
      <c r="C128" s="13" t="s">
        <v>159</v>
      </c>
      <c r="D128" s="13" t="s">
        <v>139</v>
      </c>
      <c r="E128" s="77"/>
      <c r="F128" s="14"/>
    </row>
    <row r="129" spans="4:4" x14ac:dyDescent="0.2">
      <c r="D129" s="41" t="s">
        <v>138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zoomScale="90" zoomScaleNormal="90" workbookViewId="0">
      <selection activeCell="H12" sqref="H12"/>
    </sheetView>
  </sheetViews>
  <sheetFormatPr defaultRowHeight="12.75" x14ac:dyDescent="0.2"/>
  <cols>
    <col min="1" max="1" width="6.42578125" customWidth="1"/>
    <col min="2" max="2" width="9.42578125" customWidth="1"/>
    <col min="3" max="3" width="14.7109375" customWidth="1"/>
    <col min="4" max="4" width="37.140625" style="38" customWidth="1"/>
    <col min="5" max="5" width="18.85546875" customWidth="1"/>
    <col min="6" max="6" width="30.85546875" customWidth="1"/>
  </cols>
  <sheetData>
    <row r="1" spans="1:6" ht="12.75" customHeight="1" x14ac:dyDescent="0.2">
      <c r="A1" s="5" t="s">
        <v>0</v>
      </c>
      <c r="B1" s="6"/>
      <c r="C1" s="6"/>
      <c r="D1" s="33"/>
      <c r="E1" s="16" t="s">
        <v>8</v>
      </c>
      <c r="F1" s="17"/>
    </row>
    <row r="2" spans="1:6" ht="12.75" customHeight="1" x14ac:dyDescent="0.2">
      <c r="A2" s="7" t="s">
        <v>1</v>
      </c>
      <c r="B2" s="8"/>
      <c r="C2" s="8"/>
      <c r="D2" s="34"/>
      <c r="E2" s="18" t="s">
        <v>5</v>
      </c>
      <c r="F2" s="19"/>
    </row>
    <row r="3" spans="1:6" ht="12.75" customHeight="1" x14ac:dyDescent="0.2">
      <c r="A3" s="7" t="s">
        <v>2</v>
      </c>
      <c r="B3" s="8"/>
      <c r="C3" s="8"/>
      <c r="D3" s="34"/>
      <c r="E3" s="18" t="s">
        <v>6</v>
      </c>
      <c r="F3" s="19"/>
    </row>
    <row r="4" spans="1:6" ht="12.75" customHeight="1" x14ac:dyDescent="0.2">
      <c r="A4" s="7" t="s">
        <v>3</v>
      </c>
      <c r="B4" s="8"/>
      <c r="C4" s="8"/>
      <c r="D4" s="34"/>
      <c r="E4" s="20"/>
      <c r="F4" s="19"/>
    </row>
    <row r="5" spans="1:6" ht="12.75" customHeight="1" x14ac:dyDescent="0.2">
      <c r="A5" s="9" t="s">
        <v>4</v>
      </c>
      <c r="B5" s="10"/>
      <c r="C5" s="10"/>
      <c r="D5" s="35"/>
      <c r="E5" s="21" t="s">
        <v>7</v>
      </c>
      <c r="F5" s="22"/>
    </row>
    <row r="6" spans="1:6" ht="12.75" customHeight="1" x14ac:dyDescent="0.2">
      <c r="A6" s="31" t="s">
        <v>137</v>
      </c>
      <c r="B6" s="11"/>
      <c r="C6" s="11"/>
      <c r="D6" s="36"/>
      <c r="E6" s="11"/>
      <c r="F6" s="12"/>
    </row>
    <row r="7" spans="1:6" ht="12.75" customHeight="1" x14ac:dyDescent="0.2">
      <c r="A7" s="2"/>
      <c r="B7" s="2"/>
      <c r="C7" s="2"/>
      <c r="D7" s="37"/>
      <c r="E7" s="2"/>
      <c r="F7" s="2"/>
    </row>
    <row r="8" spans="1:6" ht="12.75" customHeight="1" x14ac:dyDescent="0.2"/>
    <row r="9" spans="1:6" ht="20.100000000000001" customHeight="1" x14ac:dyDescent="0.2">
      <c r="A9" s="3" t="s">
        <v>11</v>
      </c>
      <c r="B9" s="3" t="s">
        <v>16</v>
      </c>
      <c r="C9" s="4" t="s">
        <v>9</v>
      </c>
      <c r="D9" s="4" t="s">
        <v>12</v>
      </c>
      <c r="E9" s="4" t="s">
        <v>10</v>
      </c>
      <c r="F9" s="4" t="s">
        <v>13</v>
      </c>
    </row>
    <row r="10" spans="1:6" ht="20.100000000000001" customHeight="1" x14ac:dyDescent="0.2">
      <c r="A10" s="23">
        <v>1</v>
      </c>
      <c r="B10" s="23" t="s">
        <v>17</v>
      </c>
      <c r="C10" s="24" t="s">
        <v>144</v>
      </c>
      <c r="D10" s="24" t="s">
        <v>140</v>
      </c>
      <c r="E10" s="28"/>
      <c r="F10" s="25"/>
    </row>
    <row r="11" spans="1:6" ht="20.100000000000001" customHeight="1" x14ac:dyDescent="0.2">
      <c r="A11" s="23">
        <v>2</v>
      </c>
      <c r="B11" s="23" t="s">
        <v>18</v>
      </c>
      <c r="C11" s="26"/>
      <c r="D11" s="24" t="s">
        <v>14</v>
      </c>
      <c r="E11" s="29">
        <v>1E-4</v>
      </c>
      <c r="F11" s="27"/>
    </row>
    <row r="12" spans="1:6" ht="20.100000000000001" customHeight="1" x14ac:dyDescent="0.2">
      <c r="A12" s="1">
        <v>3</v>
      </c>
      <c r="B12" s="14" t="s">
        <v>19</v>
      </c>
      <c r="C12" s="13" t="s">
        <v>150</v>
      </c>
      <c r="D12" s="13" t="s">
        <v>140</v>
      </c>
      <c r="E12" s="30"/>
      <c r="F12" s="15"/>
    </row>
    <row r="13" spans="1:6" ht="20.100000000000001" customHeight="1" x14ac:dyDescent="0.2">
      <c r="A13" s="1">
        <v>4</v>
      </c>
      <c r="B13" s="14" t="s">
        <v>20</v>
      </c>
      <c r="C13" s="13" t="s">
        <v>151</v>
      </c>
      <c r="D13" s="13" t="s">
        <v>139</v>
      </c>
      <c r="E13" s="30"/>
      <c r="F13" s="15"/>
    </row>
    <row r="14" spans="1:6" ht="20.100000000000001" customHeight="1" x14ac:dyDescent="0.2">
      <c r="A14" s="23">
        <v>5</v>
      </c>
      <c r="B14" s="23" t="s">
        <v>21</v>
      </c>
      <c r="C14" s="24"/>
      <c r="D14" s="32"/>
      <c r="E14" s="28"/>
      <c r="F14" s="25"/>
    </row>
    <row r="15" spans="1:6" ht="20.100000000000001" customHeight="1" x14ac:dyDescent="0.2">
      <c r="A15" s="23">
        <v>6</v>
      </c>
      <c r="B15" s="23" t="s">
        <v>22</v>
      </c>
      <c r="C15" s="23"/>
      <c r="D15" s="32"/>
      <c r="E15" s="28"/>
      <c r="F15" s="25"/>
    </row>
    <row r="16" spans="1:6" ht="20.100000000000001" customHeight="1" x14ac:dyDescent="0.2">
      <c r="A16" s="1">
        <v>7</v>
      </c>
      <c r="B16" s="14" t="s">
        <v>23</v>
      </c>
      <c r="C16" s="14"/>
      <c r="D16" s="39"/>
      <c r="E16" s="30"/>
      <c r="F16" s="15"/>
    </row>
    <row r="17" spans="1:6" ht="20.100000000000001" customHeight="1" x14ac:dyDescent="0.2">
      <c r="A17" s="1">
        <v>8</v>
      </c>
      <c r="B17" s="14" t="s">
        <v>24</v>
      </c>
      <c r="C17" s="14"/>
      <c r="D17" s="39"/>
      <c r="E17" s="30"/>
      <c r="F17" s="15"/>
    </row>
    <row r="18" spans="1:6" ht="20.100000000000001" customHeight="1" x14ac:dyDescent="0.2">
      <c r="A18" s="23">
        <v>9</v>
      </c>
      <c r="B18" s="23" t="s">
        <v>25</v>
      </c>
      <c r="C18" s="23"/>
      <c r="D18" s="32"/>
      <c r="E18" s="28"/>
      <c r="F18" s="25"/>
    </row>
    <row r="19" spans="1:6" ht="20.100000000000001" customHeight="1" x14ac:dyDescent="0.2">
      <c r="A19" s="23">
        <v>10</v>
      </c>
      <c r="B19" s="23" t="s">
        <v>26</v>
      </c>
      <c r="C19" s="23"/>
      <c r="D19" s="32"/>
      <c r="E19" s="28"/>
      <c r="F19" s="25"/>
    </row>
    <row r="20" spans="1:6" ht="20.100000000000001" customHeight="1" x14ac:dyDescent="0.2">
      <c r="A20" s="1">
        <v>11</v>
      </c>
      <c r="B20" s="14" t="s">
        <v>27</v>
      </c>
      <c r="C20" s="14"/>
      <c r="D20" s="39"/>
      <c r="E20" s="30"/>
      <c r="F20" s="15"/>
    </row>
    <row r="21" spans="1:6" ht="20.100000000000001" customHeight="1" x14ac:dyDescent="0.2">
      <c r="A21" s="1">
        <v>12</v>
      </c>
      <c r="B21" s="14" t="s">
        <v>28</v>
      </c>
      <c r="C21" s="14"/>
      <c r="D21" s="39"/>
      <c r="E21" s="30"/>
      <c r="F21" s="15"/>
    </row>
    <row r="22" spans="1:6" ht="20.100000000000001" customHeight="1" x14ac:dyDescent="0.2">
      <c r="A22" s="23">
        <v>13</v>
      </c>
      <c r="B22" s="23" t="s">
        <v>29</v>
      </c>
      <c r="C22" s="23"/>
      <c r="D22" s="32"/>
      <c r="E22" s="28"/>
      <c r="F22" s="25"/>
    </row>
    <row r="23" spans="1:6" ht="20.100000000000001" customHeight="1" x14ac:dyDescent="0.2">
      <c r="A23" s="23">
        <v>14</v>
      </c>
      <c r="B23" s="23" t="s">
        <v>30</v>
      </c>
      <c r="C23" s="23"/>
      <c r="D23" s="32"/>
      <c r="E23" s="28"/>
      <c r="F23" s="25"/>
    </row>
    <row r="24" spans="1:6" ht="20.100000000000001" customHeight="1" x14ac:dyDescent="0.2">
      <c r="A24" s="1">
        <v>15</v>
      </c>
      <c r="B24" s="14" t="s">
        <v>31</v>
      </c>
      <c r="C24" s="14"/>
      <c r="D24" s="40"/>
      <c r="E24" s="30"/>
      <c r="F24" s="15"/>
    </row>
    <row r="25" spans="1:6" ht="20.100000000000001" customHeight="1" x14ac:dyDescent="0.2">
      <c r="A25" s="1">
        <v>16</v>
      </c>
      <c r="B25" s="14" t="s">
        <v>32</v>
      </c>
      <c r="C25" s="14"/>
      <c r="D25" s="40"/>
      <c r="E25" s="30"/>
      <c r="F25" s="15"/>
    </row>
    <row r="26" spans="1:6" ht="20.100000000000001" customHeight="1" x14ac:dyDescent="0.2">
      <c r="A26" s="23">
        <v>17</v>
      </c>
      <c r="B26" s="23" t="s">
        <v>33</v>
      </c>
      <c r="C26" s="24" t="s">
        <v>149</v>
      </c>
      <c r="D26" s="24" t="s">
        <v>140</v>
      </c>
      <c r="E26" s="28"/>
      <c r="F26" s="25"/>
    </row>
    <row r="27" spans="1:6" ht="20.100000000000001" customHeight="1" x14ac:dyDescent="0.2">
      <c r="A27" s="23">
        <v>18</v>
      </c>
      <c r="B27" s="23" t="s">
        <v>34</v>
      </c>
      <c r="C27" s="24" t="s">
        <v>152</v>
      </c>
      <c r="D27" s="24" t="s">
        <v>139</v>
      </c>
      <c r="E27" s="28"/>
      <c r="F27" s="25"/>
    </row>
    <row r="28" spans="1:6" ht="20.100000000000001" customHeight="1" x14ac:dyDescent="0.2">
      <c r="A28" s="1">
        <v>19</v>
      </c>
      <c r="B28" s="14" t="s">
        <v>35</v>
      </c>
      <c r="C28" s="1"/>
      <c r="D28" s="40"/>
      <c r="E28" s="30"/>
      <c r="F28" s="15"/>
    </row>
    <row r="29" spans="1:6" ht="20.100000000000001" customHeight="1" x14ac:dyDescent="0.2">
      <c r="A29" s="1">
        <v>20</v>
      </c>
      <c r="B29" s="14" t="s">
        <v>36</v>
      </c>
      <c r="C29" s="13"/>
      <c r="D29" s="39"/>
      <c r="E29" s="30"/>
      <c r="F29" s="15"/>
    </row>
    <row r="30" spans="1:6" ht="20.100000000000001" customHeight="1" x14ac:dyDescent="0.2">
      <c r="A30" s="23">
        <v>21</v>
      </c>
      <c r="B30" s="23" t="s">
        <v>37</v>
      </c>
      <c r="C30" s="23"/>
      <c r="D30" s="32"/>
      <c r="E30" s="28"/>
      <c r="F30" s="25"/>
    </row>
    <row r="31" spans="1:6" ht="20.100000000000001" customHeight="1" x14ac:dyDescent="0.2">
      <c r="A31" s="23">
        <v>22</v>
      </c>
      <c r="B31" s="23" t="s">
        <v>38</v>
      </c>
      <c r="C31" s="23"/>
      <c r="D31" s="32"/>
      <c r="E31" s="28"/>
      <c r="F31" s="25"/>
    </row>
    <row r="32" spans="1:6" ht="20.100000000000001" customHeight="1" x14ac:dyDescent="0.2">
      <c r="A32" s="1">
        <v>23</v>
      </c>
      <c r="B32" s="14" t="s">
        <v>39</v>
      </c>
      <c r="C32" s="14"/>
      <c r="D32" s="39"/>
      <c r="E32" s="30"/>
      <c r="F32" s="15"/>
    </row>
    <row r="33" spans="1:6" ht="20.100000000000001" customHeight="1" x14ac:dyDescent="0.2">
      <c r="A33" s="1">
        <v>24</v>
      </c>
      <c r="B33" s="14" t="s">
        <v>40</v>
      </c>
      <c r="C33" s="14"/>
      <c r="D33" s="39"/>
      <c r="E33" s="30"/>
      <c r="F33" s="15"/>
    </row>
    <row r="34" spans="1:6" ht="20.100000000000001" customHeight="1" x14ac:dyDescent="0.2">
      <c r="A34" s="23">
        <v>25</v>
      </c>
      <c r="B34" s="23" t="s">
        <v>41</v>
      </c>
      <c r="C34" s="23"/>
      <c r="D34" s="32"/>
      <c r="E34" s="28"/>
      <c r="F34" s="25"/>
    </row>
    <row r="35" spans="1:6" ht="20.100000000000001" customHeight="1" x14ac:dyDescent="0.2">
      <c r="A35" s="23">
        <v>26</v>
      </c>
      <c r="B35" s="23" t="s">
        <v>42</v>
      </c>
      <c r="C35" s="23"/>
      <c r="D35" s="32"/>
      <c r="E35" s="28"/>
      <c r="F35" s="25"/>
    </row>
    <row r="36" spans="1:6" ht="20.100000000000001" customHeight="1" x14ac:dyDescent="0.2">
      <c r="A36" s="1">
        <v>27</v>
      </c>
      <c r="B36" s="14" t="s">
        <v>43</v>
      </c>
      <c r="C36" s="14"/>
      <c r="D36" s="40"/>
      <c r="E36" s="30"/>
      <c r="F36" s="15"/>
    </row>
    <row r="37" spans="1:6" ht="20.100000000000001" customHeight="1" x14ac:dyDescent="0.2">
      <c r="A37" s="1">
        <v>28</v>
      </c>
      <c r="B37" s="14" t="s">
        <v>44</v>
      </c>
      <c r="C37" s="14"/>
      <c r="D37" s="40"/>
      <c r="E37" s="30"/>
      <c r="F37" s="15"/>
    </row>
    <row r="38" spans="1:6" ht="20.100000000000001" customHeight="1" x14ac:dyDescent="0.2">
      <c r="A38" s="23">
        <v>29</v>
      </c>
      <c r="B38" s="23" t="s">
        <v>45</v>
      </c>
      <c r="C38" s="23"/>
      <c r="D38" s="32"/>
      <c r="E38" s="28"/>
      <c r="F38" s="25"/>
    </row>
    <row r="39" spans="1:6" ht="20.100000000000001" customHeight="1" x14ac:dyDescent="0.2">
      <c r="A39" s="23">
        <v>30</v>
      </c>
      <c r="B39" s="23" t="s">
        <v>46</v>
      </c>
      <c r="C39" s="23"/>
      <c r="D39" s="32"/>
      <c r="E39" s="28"/>
      <c r="F39" s="25"/>
    </row>
    <row r="40" spans="1:6" ht="20.100000000000001" customHeight="1" x14ac:dyDescent="0.2">
      <c r="A40" s="14">
        <v>31</v>
      </c>
      <c r="B40" s="14" t="s">
        <v>47</v>
      </c>
      <c r="C40" s="13" t="s">
        <v>148</v>
      </c>
      <c r="D40" s="13" t="s">
        <v>140</v>
      </c>
      <c r="E40" s="30"/>
      <c r="F40" s="15"/>
    </row>
    <row r="41" spans="1:6" ht="20.100000000000001" customHeight="1" x14ac:dyDescent="0.2">
      <c r="A41" s="14">
        <v>32</v>
      </c>
      <c r="B41" s="14" t="s">
        <v>48</v>
      </c>
      <c r="C41" s="13" t="s">
        <v>153</v>
      </c>
      <c r="D41" s="13" t="s">
        <v>139</v>
      </c>
      <c r="E41" s="30"/>
      <c r="F41" s="15"/>
    </row>
    <row r="42" spans="1:6" ht="20.100000000000001" customHeight="1" x14ac:dyDescent="0.2">
      <c r="A42" s="23">
        <v>33</v>
      </c>
      <c r="B42" s="23" t="s">
        <v>49</v>
      </c>
      <c r="C42" s="24"/>
      <c r="D42" s="32"/>
      <c r="E42" s="28"/>
      <c r="F42" s="25"/>
    </row>
    <row r="43" spans="1:6" ht="20.100000000000001" customHeight="1" x14ac:dyDescent="0.2">
      <c r="A43" s="23">
        <v>34</v>
      </c>
      <c r="B43" s="23" t="s">
        <v>50</v>
      </c>
      <c r="C43" s="24"/>
      <c r="D43" s="32"/>
      <c r="E43" s="28"/>
      <c r="F43" s="25"/>
    </row>
    <row r="44" spans="1:6" ht="20.100000000000001" customHeight="1" x14ac:dyDescent="0.2">
      <c r="A44" s="1">
        <v>35</v>
      </c>
      <c r="B44" s="14" t="s">
        <v>51</v>
      </c>
      <c r="C44" s="13"/>
      <c r="D44" s="39"/>
      <c r="E44" s="30"/>
      <c r="F44" s="15"/>
    </row>
    <row r="45" spans="1:6" ht="20.100000000000001" customHeight="1" x14ac:dyDescent="0.2">
      <c r="A45" s="1">
        <v>36</v>
      </c>
      <c r="B45" s="14" t="s">
        <v>52</v>
      </c>
      <c r="C45" s="14"/>
      <c r="D45" s="39"/>
      <c r="E45" s="30"/>
      <c r="F45" s="15"/>
    </row>
    <row r="46" spans="1:6" ht="20.100000000000001" customHeight="1" x14ac:dyDescent="0.2">
      <c r="A46" s="23">
        <v>37</v>
      </c>
      <c r="B46" s="23" t="s">
        <v>53</v>
      </c>
      <c r="C46" s="23"/>
      <c r="D46" s="32"/>
      <c r="E46" s="28"/>
      <c r="F46" s="25"/>
    </row>
    <row r="47" spans="1:6" ht="20.100000000000001" customHeight="1" x14ac:dyDescent="0.2">
      <c r="A47" s="23">
        <v>38</v>
      </c>
      <c r="B47" s="23" t="s">
        <v>54</v>
      </c>
      <c r="C47" s="23"/>
      <c r="D47" s="32"/>
      <c r="E47" s="28"/>
      <c r="F47" s="25"/>
    </row>
    <row r="48" spans="1:6" ht="20.100000000000001" customHeight="1" x14ac:dyDescent="0.2">
      <c r="A48" s="1">
        <v>39</v>
      </c>
      <c r="B48" s="14" t="s">
        <v>55</v>
      </c>
      <c r="C48" s="14"/>
      <c r="D48" s="40"/>
      <c r="E48" s="30"/>
      <c r="F48" s="15"/>
    </row>
    <row r="49" spans="1:6" ht="20.100000000000001" customHeight="1" x14ac:dyDescent="0.2">
      <c r="A49" s="1">
        <v>40</v>
      </c>
      <c r="B49" s="14" t="s">
        <v>56</v>
      </c>
      <c r="C49" s="14"/>
      <c r="D49" s="40"/>
      <c r="E49" s="30"/>
      <c r="F49" s="15"/>
    </row>
    <row r="50" spans="1:6" ht="20.100000000000001" customHeight="1" x14ac:dyDescent="0.2">
      <c r="A50" s="23">
        <v>41</v>
      </c>
      <c r="B50" s="23" t="s">
        <v>57</v>
      </c>
      <c r="C50" s="23"/>
      <c r="D50" s="32"/>
      <c r="E50" s="28"/>
      <c r="F50" s="25"/>
    </row>
    <row r="51" spans="1:6" ht="20.100000000000001" customHeight="1" x14ac:dyDescent="0.2">
      <c r="A51" s="23">
        <v>42</v>
      </c>
      <c r="B51" s="23" t="s">
        <v>58</v>
      </c>
      <c r="C51" s="23"/>
      <c r="D51" s="32"/>
      <c r="E51" s="28"/>
      <c r="F51" s="25"/>
    </row>
    <row r="52" spans="1:6" ht="20.100000000000001" customHeight="1" x14ac:dyDescent="0.2">
      <c r="A52" s="1">
        <v>43</v>
      </c>
      <c r="B52" s="14" t="s">
        <v>59</v>
      </c>
      <c r="C52" s="14"/>
      <c r="D52" s="39"/>
      <c r="E52" s="30"/>
      <c r="F52" s="15"/>
    </row>
    <row r="53" spans="1:6" ht="20.100000000000001" customHeight="1" x14ac:dyDescent="0.2">
      <c r="A53" s="1">
        <v>44</v>
      </c>
      <c r="B53" s="14" t="s">
        <v>60</v>
      </c>
      <c r="C53" s="14"/>
      <c r="D53" s="39"/>
      <c r="E53" s="30"/>
      <c r="F53" s="15"/>
    </row>
    <row r="54" spans="1:6" ht="20.100000000000001" customHeight="1" x14ac:dyDescent="0.2">
      <c r="A54" s="23">
        <v>45</v>
      </c>
      <c r="B54" s="23" t="s">
        <v>61</v>
      </c>
      <c r="C54" s="24" t="s">
        <v>147</v>
      </c>
      <c r="D54" s="24" t="s">
        <v>140</v>
      </c>
      <c r="E54" s="28"/>
      <c r="F54" s="25"/>
    </row>
    <row r="55" spans="1:6" ht="20.100000000000001" customHeight="1" x14ac:dyDescent="0.2">
      <c r="A55" s="23">
        <v>46</v>
      </c>
      <c r="B55" s="23" t="s">
        <v>62</v>
      </c>
      <c r="C55" s="24" t="s">
        <v>154</v>
      </c>
      <c r="D55" s="24" t="s">
        <v>139</v>
      </c>
      <c r="E55" s="28"/>
      <c r="F55" s="25"/>
    </row>
    <row r="56" spans="1:6" ht="20.100000000000001" customHeight="1" x14ac:dyDescent="0.2">
      <c r="A56" s="1">
        <v>47</v>
      </c>
      <c r="B56" s="14" t="s">
        <v>63</v>
      </c>
      <c r="C56" s="13"/>
      <c r="D56" s="39"/>
      <c r="E56" s="30"/>
      <c r="F56" s="15"/>
    </row>
    <row r="57" spans="1:6" ht="20.100000000000001" customHeight="1" x14ac:dyDescent="0.2">
      <c r="A57" s="1">
        <v>48</v>
      </c>
      <c r="B57" s="14" t="s">
        <v>64</v>
      </c>
      <c r="C57" s="13"/>
      <c r="D57" s="39"/>
      <c r="E57" s="30"/>
      <c r="F57" s="15"/>
    </row>
    <row r="58" spans="1:6" ht="20.100000000000001" customHeight="1" x14ac:dyDescent="0.2">
      <c r="A58" s="23">
        <v>49</v>
      </c>
      <c r="B58" s="23" t="s">
        <v>65</v>
      </c>
      <c r="C58" s="24"/>
      <c r="D58" s="32"/>
      <c r="E58" s="28"/>
      <c r="F58" s="25"/>
    </row>
    <row r="59" spans="1:6" ht="20.100000000000001" customHeight="1" x14ac:dyDescent="0.2">
      <c r="A59" s="23">
        <v>50</v>
      </c>
      <c r="B59" s="23" t="s">
        <v>66</v>
      </c>
      <c r="C59" s="24"/>
      <c r="D59" s="32"/>
      <c r="E59" s="28"/>
      <c r="F59" s="25"/>
    </row>
    <row r="60" spans="1:6" ht="20.100000000000001" customHeight="1" x14ac:dyDescent="0.2">
      <c r="A60" s="14">
        <v>51</v>
      </c>
      <c r="B60" s="14" t="s">
        <v>67</v>
      </c>
      <c r="C60" s="13"/>
      <c r="D60" s="39"/>
      <c r="E60" s="30"/>
      <c r="F60" s="15"/>
    </row>
    <row r="61" spans="1:6" ht="20.100000000000001" customHeight="1" x14ac:dyDescent="0.2">
      <c r="A61" s="14">
        <v>52</v>
      </c>
      <c r="B61" s="14" t="s">
        <v>68</v>
      </c>
      <c r="C61" s="13"/>
      <c r="D61" s="39"/>
      <c r="E61" s="30"/>
      <c r="F61" s="15"/>
    </row>
    <row r="62" spans="1:6" ht="20.100000000000001" customHeight="1" x14ac:dyDescent="0.2">
      <c r="A62" s="23">
        <v>53</v>
      </c>
      <c r="B62" s="23" t="s">
        <v>69</v>
      </c>
      <c r="C62" s="23"/>
      <c r="D62" s="32"/>
      <c r="E62" s="23"/>
      <c r="F62" s="23"/>
    </row>
    <row r="63" spans="1:6" ht="20.100000000000001" customHeight="1" x14ac:dyDescent="0.2">
      <c r="A63" s="23">
        <v>54</v>
      </c>
      <c r="B63" s="23" t="s">
        <v>70</v>
      </c>
      <c r="C63" s="23"/>
      <c r="D63" s="32"/>
      <c r="E63" s="23"/>
      <c r="F63" s="23"/>
    </row>
    <row r="64" spans="1:6" ht="20.100000000000001" customHeight="1" x14ac:dyDescent="0.2">
      <c r="A64" s="14">
        <v>55</v>
      </c>
      <c r="B64" s="14" t="s">
        <v>71</v>
      </c>
      <c r="C64" s="14"/>
      <c r="D64" s="39"/>
      <c r="E64" s="14"/>
      <c r="F64" s="14"/>
    </row>
    <row r="65" spans="1:6" ht="20.100000000000001" customHeight="1" x14ac:dyDescent="0.2">
      <c r="A65" s="14">
        <v>56</v>
      </c>
      <c r="B65" s="14" t="s">
        <v>72</v>
      </c>
      <c r="C65" s="14"/>
      <c r="D65" s="39"/>
      <c r="E65" s="14"/>
      <c r="F65" s="14"/>
    </row>
    <row r="66" spans="1:6" ht="20.100000000000001" customHeight="1" x14ac:dyDescent="0.2">
      <c r="A66" s="23">
        <v>57</v>
      </c>
      <c r="B66" s="23" t="s">
        <v>73</v>
      </c>
      <c r="C66" s="23"/>
      <c r="D66" s="32"/>
      <c r="E66" s="23"/>
      <c r="F66" s="23"/>
    </row>
    <row r="67" spans="1:6" ht="20.100000000000001" customHeight="1" x14ac:dyDescent="0.2">
      <c r="A67" s="23">
        <v>58</v>
      </c>
      <c r="B67" s="23" t="s">
        <v>74</v>
      </c>
      <c r="C67" s="23"/>
      <c r="D67" s="32"/>
      <c r="E67" s="23"/>
      <c r="F67" s="23"/>
    </row>
    <row r="68" spans="1:6" ht="20.100000000000001" customHeight="1" x14ac:dyDescent="0.2">
      <c r="A68" s="14">
        <v>59</v>
      </c>
      <c r="B68" s="14" t="s">
        <v>75</v>
      </c>
      <c r="C68" s="13" t="s">
        <v>146</v>
      </c>
      <c r="D68" s="13" t="s">
        <v>140</v>
      </c>
      <c r="E68" s="14"/>
      <c r="F68" s="14"/>
    </row>
    <row r="69" spans="1:6" ht="20.100000000000001" customHeight="1" x14ac:dyDescent="0.2">
      <c r="A69" s="14">
        <v>60</v>
      </c>
      <c r="B69" s="14" t="s">
        <v>76</v>
      </c>
      <c r="C69" s="13" t="s">
        <v>155</v>
      </c>
      <c r="D69" s="13" t="s">
        <v>139</v>
      </c>
      <c r="E69" s="14"/>
      <c r="F69" s="14"/>
    </row>
    <row r="70" spans="1:6" ht="20.100000000000001" customHeight="1" x14ac:dyDescent="0.2">
      <c r="A70" s="23">
        <v>61</v>
      </c>
      <c r="B70" s="23" t="s">
        <v>77</v>
      </c>
      <c r="C70" s="23"/>
      <c r="D70" s="32"/>
      <c r="E70" s="23"/>
      <c r="F70" s="23"/>
    </row>
    <row r="71" spans="1:6" ht="20.100000000000001" customHeight="1" x14ac:dyDescent="0.2">
      <c r="A71" s="23">
        <v>62</v>
      </c>
      <c r="B71" s="23" t="s">
        <v>78</v>
      </c>
      <c r="C71" s="23"/>
      <c r="D71" s="32"/>
      <c r="E71" s="23"/>
      <c r="F71" s="23"/>
    </row>
    <row r="72" spans="1:6" ht="20.100000000000001" customHeight="1" x14ac:dyDescent="0.2">
      <c r="A72" s="14">
        <v>63</v>
      </c>
      <c r="B72" s="14" t="s">
        <v>79</v>
      </c>
      <c r="C72" s="14"/>
      <c r="D72" s="39"/>
      <c r="E72" s="14"/>
      <c r="F72" s="14"/>
    </row>
    <row r="73" spans="1:6" ht="20.100000000000001" customHeight="1" x14ac:dyDescent="0.2">
      <c r="A73" s="14">
        <v>64</v>
      </c>
      <c r="B73" s="14" t="s">
        <v>80</v>
      </c>
      <c r="C73" s="14"/>
      <c r="D73" s="39"/>
      <c r="E73" s="14"/>
      <c r="F73" s="14"/>
    </row>
    <row r="74" spans="1:6" ht="20.100000000000001" customHeight="1" x14ac:dyDescent="0.2">
      <c r="A74" s="23">
        <v>65</v>
      </c>
      <c r="B74" s="23" t="s">
        <v>81</v>
      </c>
      <c r="C74" s="23"/>
      <c r="D74" s="32"/>
      <c r="E74" s="23"/>
      <c r="F74" s="23"/>
    </row>
    <row r="75" spans="1:6" ht="20.100000000000001" customHeight="1" x14ac:dyDescent="0.2">
      <c r="A75" s="23">
        <v>66</v>
      </c>
      <c r="B75" s="23" t="s">
        <v>82</v>
      </c>
      <c r="C75" s="23"/>
      <c r="D75" s="32"/>
      <c r="E75" s="23"/>
      <c r="F75" s="23"/>
    </row>
    <row r="76" spans="1:6" ht="20.100000000000001" customHeight="1" x14ac:dyDescent="0.2">
      <c r="A76" s="14">
        <v>67</v>
      </c>
      <c r="B76" s="14" t="s">
        <v>83</v>
      </c>
      <c r="C76" s="14"/>
      <c r="D76" s="39"/>
      <c r="E76" s="14"/>
      <c r="F76" s="14"/>
    </row>
    <row r="77" spans="1:6" ht="20.100000000000001" customHeight="1" x14ac:dyDescent="0.2">
      <c r="A77" s="14">
        <v>68</v>
      </c>
      <c r="B77" s="14" t="s">
        <v>84</v>
      </c>
      <c r="C77" s="14"/>
      <c r="D77" s="39"/>
      <c r="E77" s="14"/>
      <c r="F77" s="14"/>
    </row>
    <row r="78" spans="1:6" ht="20.100000000000001" customHeight="1" x14ac:dyDescent="0.2">
      <c r="A78" s="23">
        <v>69</v>
      </c>
      <c r="B78" s="23" t="s">
        <v>85</v>
      </c>
      <c r="C78" s="23"/>
      <c r="D78" s="32"/>
      <c r="E78" s="23"/>
      <c r="F78" s="23"/>
    </row>
    <row r="79" spans="1:6" ht="20.100000000000001" customHeight="1" x14ac:dyDescent="0.2">
      <c r="A79" s="23">
        <v>70</v>
      </c>
      <c r="B79" s="23" t="s">
        <v>86</v>
      </c>
      <c r="C79" s="23"/>
      <c r="D79" s="32"/>
      <c r="E79" s="23"/>
      <c r="F79" s="23"/>
    </row>
    <row r="80" spans="1:6" ht="20.100000000000001" customHeight="1" x14ac:dyDescent="0.2">
      <c r="A80" s="14">
        <v>71</v>
      </c>
      <c r="B80" s="14" t="s">
        <v>87</v>
      </c>
      <c r="C80" s="14"/>
      <c r="D80" s="39"/>
      <c r="E80" s="14"/>
      <c r="F80" s="14"/>
    </row>
    <row r="81" spans="1:6" ht="20.100000000000001" customHeight="1" x14ac:dyDescent="0.2">
      <c r="A81" s="14">
        <v>72</v>
      </c>
      <c r="B81" s="14" t="s">
        <v>88</v>
      </c>
      <c r="C81" s="14"/>
      <c r="D81" s="39"/>
      <c r="E81" s="14"/>
      <c r="F81" s="14"/>
    </row>
    <row r="82" spans="1:6" ht="20.100000000000001" customHeight="1" x14ac:dyDescent="0.2">
      <c r="A82" s="23">
        <v>73</v>
      </c>
      <c r="B82" s="23" t="s">
        <v>89</v>
      </c>
      <c r="C82" s="24" t="s">
        <v>145</v>
      </c>
      <c r="D82" s="24" t="s">
        <v>140</v>
      </c>
      <c r="E82" s="23"/>
      <c r="F82" s="23"/>
    </row>
    <row r="83" spans="1:6" ht="20.100000000000001" customHeight="1" x14ac:dyDescent="0.2">
      <c r="A83" s="23">
        <v>74</v>
      </c>
      <c r="B83" s="23" t="s">
        <v>90</v>
      </c>
      <c r="C83" s="24" t="s">
        <v>156</v>
      </c>
      <c r="D83" s="24" t="s">
        <v>139</v>
      </c>
      <c r="E83" s="23"/>
      <c r="F83" s="23"/>
    </row>
    <row r="84" spans="1:6" ht="20.100000000000001" customHeight="1" x14ac:dyDescent="0.2">
      <c r="A84" s="14">
        <v>75</v>
      </c>
      <c r="B84" s="14" t="s">
        <v>91</v>
      </c>
      <c r="C84" s="14"/>
      <c r="D84" s="39"/>
      <c r="E84" s="14"/>
      <c r="F84" s="14"/>
    </row>
    <row r="85" spans="1:6" ht="20.100000000000001" customHeight="1" x14ac:dyDescent="0.2">
      <c r="A85" s="14">
        <v>76</v>
      </c>
      <c r="B85" s="14" t="s">
        <v>92</v>
      </c>
      <c r="C85" s="14"/>
      <c r="D85" s="39"/>
      <c r="E85" s="14"/>
      <c r="F85" s="14"/>
    </row>
    <row r="86" spans="1:6" ht="20.100000000000001" customHeight="1" x14ac:dyDescent="0.2">
      <c r="A86" s="23">
        <v>77</v>
      </c>
      <c r="B86" s="23" t="s">
        <v>93</v>
      </c>
      <c r="C86" s="23"/>
      <c r="D86" s="32"/>
      <c r="E86" s="23"/>
      <c r="F86" s="23"/>
    </row>
    <row r="87" spans="1:6" ht="20.100000000000001" customHeight="1" x14ac:dyDescent="0.2">
      <c r="A87" s="23">
        <v>78</v>
      </c>
      <c r="B87" s="23" t="s">
        <v>94</v>
      </c>
      <c r="C87" s="23"/>
      <c r="D87" s="32"/>
      <c r="E87" s="23"/>
      <c r="F87" s="23"/>
    </row>
    <row r="88" spans="1:6" ht="20.100000000000001" customHeight="1" x14ac:dyDescent="0.2">
      <c r="A88" s="14">
        <v>79</v>
      </c>
      <c r="B88" s="14" t="s">
        <v>95</v>
      </c>
      <c r="C88" s="14"/>
      <c r="D88" s="39"/>
      <c r="E88" s="14"/>
      <c r="F88" s="14"/>
    </row>
    <row r="89" spans="1:6" ht="20.100000000000001" customHeight="1" x14ac:dyDescent="0.2">
      <c r="A89" s="14">
        <v>80</v>
      </c>
      <c r="B89" s="14" t="s">
        <v>96</v>
      </c>
      <c r="C89" s="14"/>
      <c r="D89" s="39"/>
      <c r="E89" s="14"/>
      <c r="F89" s="14"/>
    </row>
    <row r="90" spans="1:6" ht="20.100000000000001" customHeight="1" x14ac:dyDescent="0.2">
      <c r="A90" s="23">
        <v>81</v>
      </c>
      <c r="B90" s="23" t="s">
        <v>97</v>
      </c>
      <c r="C90" s="23"/>
      <c r="D90" s="32"/>
      <c r="E90" s="23"/>
      <c r="F90" s="23"/>
    </row>
    <row r="91" spans="1:6" ht="20.100000000000001" customHeight="1" x14ac:dyDescent="0.2">
      <c r="A91" s="23">
        <v>82</v>
      </c>
      <c r="B91" s="23" t="s">
        <v>98</v>
      </c>
      <c r="C91" s="23"/>
      <c r="D91" s="32"/>
      <c r="E91" s="23"/>
      <c r="F91" s="23"/>
    </row>
    <row r="92" spans="1:6" ht="20.100000000000001" customHeight="1" x14ac:dyDescent="0.2">
      <c r="A92" s="14">
        <v>83</v>
      </c>
      <c r="B92" s="14" t="s">
        <v>99</v>
      </c>
      <c r="C92" s="14"/>
      <c r="D92" s="39"/>
      <c r="E92" s="14"/>
      <c r="F92" s="14"/>
    </row>
    <row r="93" spans="1:6" ht="20.100000000000001" customHeight="1" x14ac:dyDescent="0.2">
      <c r="A93" s="14">
        <v>84</v>
      </c>
      <c r="B93" s="14" t="s">
        <v>100</v>
      </c>
      <c r="C93" s="14"/>
      <c r="D93" s="39"/>
      <c r="E93" s="14"/>
      <c r="F93" s="14"/>
    </row>
    <row r="94" spans="1:6" ht="20.100000000000001" customHeight="1" x14ac:dyDescent="0.2">
      <c r="A94" s="23">
        <v>85</v>
      </c>
      <c r="B94" s="23" t="s">
        <v>101</v>
      </c>
      <c r="C94" s="23"/>
      <c r="D94" s="32"/>
      <c r="E94" s="23"/>
      <c r="F94" s="23"/>
    </row>
    <row r="95" spans="1:6" ht="20.100000000000001" customHeight="1" x14ac:dyDescent="0.2">
      <c r="A95" s="23">
        <v>86</v>
      </c>
      <c r="B95" s="23" t="s">
        <v>102</v>
      </c>
      <c r="C95" s="23"/>
      <c r="D95" s="32"/>
      <c r="E95" s="23"/>
      <c r="F95" s="23"/>
    </row>
    <row r="96" spans="1:6" ht="20.100000000000001" customHeight="1" x14ac:dyDescent="0.2">
      <c r="A96" s="14">
        <v>87</v>
      </c>
      <c r="B96" s="14" t="s">
        <v>103</v>
      </c>
      <c r="C96" s="13" t="s">
        <v>143</v>
      </c>
      <c r="D96" s="13" t="s">
        <v>140</v>
      </c>
      <c r="E96" s="14"/>
      <c r="F96" s="14"/>
    </row>
    <row r="97" spans="1:6" ht="20.100000000000001" customHeight="1" x14ac:dyDescent="0.2">
      <c r="A97" s="14">
        <v>88</v>
      </c>
      <c r="B97" s="14" t="s">
        <v>104</v>
      </c>
      <c r="C97" s="13" t="s">
        <v>157</v>
      </c>
      <c r="D97" s="13" t="s">
        <v>139</v>
      </c>
      <c r="E97" s="14"/>
      <c r="F97" s="14"/>
    </row>
    <row r="98" spans="1:6" ht="20.100000000000001" customHeight="1" x14ac:dyDescent="0.2">
      <c r="A98" s="23">
        <v>89</v>
      </c>
      <c r="B98" s="23" t="s">
        <v>105</v>
      </c>
      <c r="C98" s="23"/>
      <c r="D98" s="32"/>
      <c r="E98" s="23"/>
      <c r="F98" s="23"/>
    </row>
    <row r="99" spans="1:6" ht="20.100000000000001" customHeight="1" x14ac:dyDescent="0.2">
      <c r="A99" s="23">
        <v>90</v>
      </c>
      <c r="B99" s="23" t="s">
        <v>106</v>
      </c>
      <c r="C99" s="23"/>
      <c r="D99" s="32"/>
      <c r="E99" s="23"/>
      <c r="F99" s="23"/>
    </row>
    <row r="100" spans="1:6" ht="20.100000000000001" customHeight="1" x14ac:dyDescent="0.2">
      <c r="A100" s="14">
        <v>91</v>
      </c>
      <c r="B100" s="14" t="s">
        <v>107</v>
      </c>
      <c r="C100" s="14"/>
      <c r="D100" s="39"/>
      <c r="E100" s="14"/>
      <c r="F100" s="14"/>
    </row>
    <row r="101" spans="1:6" ht="20.100000000000001" customHeight="1" x14ac:dyDescent="0.2">
      <c r="A101" s="14">
        <v>92</v>
      </c>
      <c r="B101" s="14" t="s">
        <v>108</v>
      </c>
      <c r="C101" s="14"/>
      <c r="D101" s="39"/>
      <c r="E101" s="14"/>
      <c r="F101" s="14"/>
    </row>
    <row r="102" spans="1:6" ht="20.100000000000001" customHeight="1" x14ac:dyDescent="0.2">
      <c r="A102" s="23">
        <v>93</v>
      </c>
      <c r="B102" s="23" t="s">
        <v>109</v>
      </c>
      <c r="C102" s="23"/>
      <c r="D102" s="32"/>
      <c r="E102" s="23"/>
      <c r="F102" s="23"/>
    </row>
    <row r="103" spans="1:6" ht="20.100000000000001" customHeight="1" x14ac:dyDescent="0.2">
      <c r="A103" s="23">
        <v>94</v>
      </c>
      <c r="B103" s="23" t="s">
        <v>110</v>
      </c>
      <c r="C103" s="23"/>
      <c r="D103" s="32"/>
      <c r="E103" s="23"/>
      <c r="F103" s="23"/>
    </row>
    <row r="104" spans="1:6" ht="20.100000000000001" customHeight="1" x14ac:dyDescent="0.2">
      <c r="A104" s="14">
        <v>95</v>
      </c>
      <c r="B104" s="14" t="s">
        <v>111</v>
      </c>
      <c r="C104" s="14"/>
      <c r="D104" s="39"/>
      <c r="E104" s="14"/>
      <c r="F104" s="14"/>
    </row>
    <row r="105" spans="1:6" ht="20.100000000000001" customHeight="1" x14ac:dyDescent="0.2">
      <c r="A105" s="14">
        <v>96</v>
      </c>
      <c r="B105" s="14" t="s">
        <v>112</v>
      </c>
      <c r="C105" s="14"/>
      <c r="D105" s="39"/>
      <c r="E105" s="14"/>
      <c r="F105" s="14"/>
    </row>
    <row r="106" spans="1:6" ht="20.100000000000001" customHeight="1" x14ac:dyDescent="0.2">
      <c r="A106" s="23">
        <v>97</v>
      </c>
      <c r="B106" s="23" t="s">
        <v>113</v>
      </c>
      <c r="C106" s="23"/>
      <c r="D106" s="32"/>
      <c r="E106" s="23"/>
      <c r="F106" s="23"/>
    </row>
    <row r="107" spans="1:6" ht="20.100000000000001" customHeight="1" x14ac:dyDescent="0.2">
      <c r="A107" s="23">
        <v>98</v>
      </c>
      <c r="B107" s="23" t="s">
        <v>114</v>
      </c>
      <c r="C107" s="23"/>
      <c r="D107" s="32"/>
      <c r="E107" s="23"/>
      <c r="F107" s="23"/>
    </row>
    <row r="108" spans="1:6" ht="20.100000000000001" customHeight="1" x14ac:dyDescent="0.2">
      <c r="A108" s="14">
        <v>99</v>
      </c>
      <c r="B108" s="14" t="s">
        <v>115</v>
      </c>
      <c r="C108" s="14"/>
      <c r="D108" s="39"/>
      <c r="E108" s="14"/>
      <c r="F108" s="14"/>
    </row>
    <row r="109" spans="1:6" ht="20.100000000000001" customHeight="1" x14ac:dyDescent="0.2">
      <c r="A109" s="14">
        <v>100</v>
      </c>
      <c r="B109" s="14" t="s">
        <v>116</v>
      </c>
      <c r="C109" s="14"/>
      <c r="D109" s="39"/>
      <c r="E109" s="14"/>
      <c r="F109" s="14"/>
    </row>
    <row r="110" spans="1:6" ht="20.100000000000001" customHeight="1" x14ac:dyDescent="0.2">
      <c r="A110" s="23">
        <v>101</v>
      </c>
      <c r="B110" s="23" t="s">
        <v>117</v>
      </c>
      <c r="C110" s="23"/>
      <c r="D110" s="32"/>
      <c r="E110" s="23"/>
      <c r="F110" s="23"/>
    </row>
    <row r="111" spans="1:6" ht="20.100000000000001" customHeight="1" x14ac:dyDescent="0.2">
      <c r="A111" s="23">
        <v>102</v>
      </c>
      <c r="B111" s="23" t="s">
        <v>118</v>
      </c>
      <c r="C111" s="24" t="s">
        <v>142</v>
      </c>
      <c r="D111" s="24" t="s">
        <v>140</v>
      </c>
      <c r="E111" s="23"/>
      <c r="F111" s="23"/>
    </row>
    <row r="112" spans="1:6" ht="20.100000000000001" customHeight="1" x14ac:dyDescent="0.2">
      <c r="A112" s="14">
        <v>103</v>
      </c>
      <c r="B112" s="14" t="s">
        <v>119</v>
      </c>
      <c r="C112" s="13" t="s">
        <v>158</v>
      </c>
      <c r="D112" s="13" t="s">
        <v>139</v>
      </c>
      <c r="E112" s="14"/>
      <c r="F112" s="14"/>
    </row>
    <row r="113" spans="1:6" ht="20.100000000000001" customHeight="1" x14ac:dyDescent="0.2">
      <c r="A113" s="14">
        <v>104</v>
      </c>
      <c r="B113" s="14" t="s">
        <v>120</v>
      </c>
      <c r="C113" s="14"/>
      <c r="D113" s="39"/>
      <c r="E113" s="14"/>
      <c r="F113" s="14"/>
    </row>
    <row r="114" spans="1:6" ht="20.100000000000001" customHeight="1" x14ac:dyDescent="0.2">
      <c r="A114" s="23">
        <v>105</v>
      </c>
      <c r="B114" s="23" t="s">
        <v>121</v>
      </c>
      <c r="C114" s="23"/>
      <c r="D114" s="32"/>
      <c r="E114" s="23"/>
      <c r="F114" s="23"/>
    </row>
    <row r="115" spans="1:6" ht="20.100000000000001" customHeight="1" x14ac:dyDescent="0.2">
      <c r="A115" s="23">
        <v>106</v>
      </c>
      <c r="B115" s="23" t="s">
        <v>122</v>
      </c>
      <c r="C115" s="23"/>
      <c r="D115" s="32"/>
      <c r="E115" s="23"/>
      <c r="F115" s="23"/>
    </row>
    <row r="116" spans="1:6" ht="20.100000000000001" customHeight="1" x14ac:dyDescent="0.2">
      <c r="A116" s="14">
        <v>107</v>
      </c>
      <c r="B116" s="14" t="s">
        <v>123</v>
      </c>
      <c r="C116" s="14"/>
      <c r="D116" s="39"/>
      <c r="E116" s="14"/>
      <c r="F116" s="14"/>
    </row>
    <row r="117" spans="1:6" ht="20.100000000000001" customHeight="1" x14ac:dyDescent="0.2">
      <c r="A117" s="14">
        <v>108</v>
      </c>
      <c r="B117" s="14" t="s">
        <v>124</v>
      </c>
      <c r="C117" s="14"/>
      <c r="D117" s="39"/>
      <c r="E117" s="14"/>
      <c r="F117" s="14"/>
    </row>
    <row r="118" spans="1:6" ht="20.100000000000001" customHeight="1" x14ac:dyDescent="0.2">
      <c r="A118" s="23">
        <v>109</v>
      </c>
      <c r="B118" s="23" t="s">
        <v>125</v>
      </c>
      <c r="C118" s="23"/>
      <c r="D118" s="32"/>
      <c r="E118" s="23"/>
      <c r="F118" s="23"/>
    </row>
    <row r="119" spans="1:6" ht="20.100000000000001" customHeight="1" x14ac:dyDescent="0.2">
      <c r="A119" s="23">
        <v>110</v>
      </c>
      <c r="B119" s="23" t="s">
        <v>126</v>
      </c>
      <c r="C119" s="23"/>
      <c r="D119" s="32"/>
      <c r="E119" s="23"/>
      <c r="F119" s="23"/>
    </row>
    <row r="120" spans="1:6" ht="20.100000000000001" customHeight="1" x14ac:dyDescent="0.2">
      <c r="A120" s="14">
        <v>111</v>
      </c>
      <c r="B120" s="14" t="s">
        <v>127</v>
      </c>
      <c r="C120" s="14"/>
      <c r="D120" s="39"/>
      <c r="E120" s="14"/>
      <c r="F120" s="14"/>
    </row>
    <row r="121" spans="1:6" ht="20.100000000000001" customHeight="1" x14ac:dyDescent="0.2">
      <c r="A121" s="14">
        <v>112</v>
      </c>
      <c r="B121" s="14" t="s">
        <v>128</v>
      </c>
      <c r="C121" s="14"/>
      <c r="D121" s="39"/>
      <c r="E121" s="14"/>
      <c r="F121" s="14"/>
    </row>
    <row r="122" spans="1:6" ht="20.100000000000001" customHeight="1" x14ac:dyDescent="0.2">
      <c r="A122" s="23">
        <v>113</v>
      </c>
      <c r="B122" s="23" t="s">
        <v>129</v>
      </c>
      <c r="C122" s="23"/>
      <c r="D122" s="32"/>
      <c r="E122" s="23"/>
      <c r="F122" s="23"/>
    </row>
    <row r="123" spans="1:6" ht="20.100000000000001" customHeight="1" x14ac:dyDescent="0.2">
      <c r="A123" s="23">
        <v>114</v>
      </c>
      <c r="B123" s="23" t="s">
        <v>130</v>
      </c>
      <c r="C123" s="23"/>
      <c r="D123" s="32"/>
      <c r="E123" s="23"/>
      <c r="F123" s="23"/>
    </row>
    <row r="124" spans="1:6" ht="20.100000000000001" customHeight="1" x14ac:dyDescent="0.2">
      <c r="A124" s="14">
        <v>115</v>
      </c>
      <c r="B124" s="14" t="s">
        <v>131</v>
      </c>
      <c r="C124" s="14"/>
      <c r="D124" s="39"/>
      <c r="E124" s="14"/>
      <c r="F124" s="14"/>
    </row>
    <row r="125" spans="1:6" ht="20.100000000000001" customHeight="1" x14ac:dyDescent="0.2">
      <c r="A125" s="14">
        <v>116</v>
      </c>
      <c r="B125" s="14" t="s">
        <v>132</v>
      </c>
      <c r="C125" s="14"/>
      <c r="D125" s="39"/>
      <c r="E125" s="14"/>
      <c r="F125" s="14"/>
    </row>
    <row r="126" spans="1:6" ht="20.100000000000001" customHeight="1" x14ac:dyDescent="0.2">
      <c r="A126" s="23">
        <v>117</v>
      </c>
      <c r="B126" s="23" t="s">
        <v>133</v>
      </c>
      <c r="C126" s="24" t="s">
        <v>136</v>
      </c>
      <c r="D126" s="24" t="s">
        <v>15</v>
      </c>
      <c r="E126" s="23"/>
      <c r="F126" s="23"/>
    </row>
    <row r="127" spans="1:6" ht="20.100000000000001" customHeight="1" x14ac:dyDescent="0.2">
      <c r="A127" s="23">
        <v>118</v>
      </c>
      <c r="B127" s="23" t="s">
        <v>134</v>
      </c>
      <c r="C127" s="24" t="s">
        <v>141</v>
      </c>
      <c r="D127" s="24" t="s">
        <v>140</v>
      </c>
      <c r="E127" s="23"/>
      <c r="F127" s="23"/>
    </row>
    <row r="128" spans="1:6" ht="20.100000000000001" customHeight="1" x14ac:dyDescent="0.2">
      <c r="A128" s="14">
        <v>119</v>
      </c>
      <c r="B128" s="14" t="s">
        <v>135</v>
      </c>
      <c r="C128" s="13" t="s">
        <v>159</v>
      </c>
      <c r="D128" s="13" t="s">
        <v>139</v>
      </c>
      <c r="E128" s="14"/>
      <c r="F128" s="14"/>
    </row>
    <row r="129" spans="4:4" x14ac:dyDescent="0.2">
      <c r="D129" s="41" t="s">
        <v>138</v>
      </c>
    </row>
  </sheetData>
  <sheetProtection sheet="1" objects="1" scenarios="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15A0-F0EE-4248-8B45-1CBA6E53B2D8}">
  <dimension ref="B3:BB147"/>
  <sheetViews>
    <sheetView topLeftCell="AL14" zoomScale="95" zoomScaleNormal="95" workbookViewId="0">
      <selection activeCell="BB45" sqref="BB45"/>
    </sheetView>
  </sheetViews>
  <sheetFormatPr defaultRowHeight="12.75" x14ac:dyDescent="0.2"/>
  <cols>
    <col min="2" max="2" width="12.42578125" customWidth="1"/>
    <col min="3" max="3" width="11.85546875" customWidth="1"/>
    <col min="4" max="4" width="11.28515625" customWidth="1"/>
    <col min="5" max="5" width="11" customWidth="1"/>
    <col min="6" max="6" width="14.140625" customWidth="1"/>
    <col min="7" max="7" width="30.140625" customWidth="1"/>
    <col min="10" max="10" width="10.7109375" customWidth="1"/>
    <col min="11" max="11" width="10.5703125" customWidth="1"/>
    <col min="13" max="13" width="11" customWidth="1"/>
    <col min="14" max="14" width="13.140625" customWidth="1"/>
    <col min="15" max="15" width="28.42578125" customWidth="1"/>
    <col min="18" max="18" width="11.5703125" customWidth="1"/>
    <col min="19" max="19" width="10.5703125" customWidth="1"/>
    <col min="20" max="20" width="9.5703125" customWidth="1"/>
    <col min="21" max="21" width="11" customWidth="1"/>
    <col min="22" max="22" width="14.85546875" customWidth="1"/>
    <col min="23" max="23" width="36.85546875" customWidth="1"/>
    <col min="29" max="29" width="14.85546875" customWidth="1"/>
    <col min="30" max="30" width="36.85546875" customWidth="1"/>
    <col min="36" max="36" width="14.85546875" customWidth="1"/>
    <col min="37" max="37" width="18" customWidth="1"/>
    <col min="38" max="38" width="46.5703125" customWidth="1"/>
    <col min="42" max="42" width="14" customWidth="1"/>
    <col min="43" max="43" width="14.85546875" customWidth="1"/>
    <col min="44" max="44" width="13.28515625" customWidth="1"/>
    <col min="45" max="45" width="15.42578125" customWidth="1"/>
    <col min="46" max="46" width="40.5703125" customWidth="1"/>
    <col min="50" max="50" width="13.42578125" customWidth="1"/>
    <col min="53" max="53" width="15.7109375" customWidth="1"/>
    <col min="54" max="54" width="38.85546875" customWidth="1"/>
  </cols>
  <sheetData>
    <row r="3" spans="2:54" s="43" customFormat="1" ht="32.25" customHeight="1" x14ac:dyDescent="0.2">
      <c r="B3" s="42" t="s">
        <v>171</v>
      </c>
      <c r="C3" s="42" t="s">
        <v>172</v>
      </c>
      <c r="D3" s="42" t="s">
        <v>173</v>
      </c>
      <c r="E3" s="42" t="s">
        <v>174</v>
      </c>
      <c r="F3" s="42" t="s">
        <v>175</v>
      </c>
      <c r="G3" s="42" t="s">
        <v>12</v>
      </c>
      <c r="J3" s="42" t="s">
        <v>171</v>
      </c>
      <c r="K3" s="42" t="s">
        <v>172</v>
      </c>
      <c r="L3" s="42" t="s">
        <v>173</v>
      </c>
      <c r="M3" s="42" t="s">
        <v>174</v>
      </c>
      <c r="N3" s="42" t="s">
        <v>175</v>
      </c>
      <c r="O3" s="42" t="s">
        <v>12</v>
      </c>
      <c r="R3" s="42" t="s">
        <v>171</v>
      </c>
      <c r="S3" s="42" t="s">
        <v>172</v>
      </c>
      <c r="T3" s="42" t="s">
        <v>173</v>
      </c>
      <c r="U3" s="42" t="s">
        <v>174</v>
      </c>
      <c r="V3" s="42" t="s">
        <v>175</v>
      </c>
      <c r="W3" s="42" t="s">
        <v>12</v>
      </c>
      <c r="Y3" s="42" t="s">
        <v>171</v>
      </c>
      <c r="Z3" s="42" t="s">
        <v>172</v>
      </c>
      <c r="AA3" s="42" t="s">
        <v>173</v>
      </c>
      <c r="AB3" s="42" t="s">
        <v>174</v>
      </c>
      <c r="AC3" s="42" t="s">
        <v>175</v>
      </c>
      <c r="AD3" s="42" t="s">
        <v>12</v>
      </c>
      <c r="AE3"/>
      <c r="AF3" s="42" t="s">
        <v>171</v>
      </c>
      <c r="AG3" s="42" t="s">
        <v>172</v>
      </c>
      <c r="AH3" s="42" t="s">
        <v>173</v>
      </c>
      <c r="AI3" s="42" t="s">
        <v>211</v>
      </c>
      <c r="AJ3" s="42" t="s">
        <v>212</v>
      </c>
      <c r="AK3" s="42" t="s">
        <v>175</v>
      </c>
      <c r="AL3" s="42" t="s">
        <v>12</v>
      </c>
      <c r="AM3" s="50"/>
      <c r="AN3" s="42" t="s">
        <v>171</v>
      </c>
      <c r="AO3" s="42" t="s">
        <v>172</v>
      </c>
      <c r="AP3" s="42" t="s">
        <v>173</v>
      </c>
      <c r="AQ3" s="42" t="s">
        <v>211</v>
      </c>
      <c r="AR3" s="42" t="s">
        <v>212</v>
      </c>
      <c r="AS3" s="42" t="s">
        <v>175</v>
      </c>
      <c r="AT3" s="42" t="s">
        <v>12</v>
      </c>
      <c r="AV3" s="42" t="s">
        <v>171</v>
      </c>
      <c r="AW3" s="42" t="s">
        <v>172</v>
      </c>
      <c r="AX3" s="42" t="s">
        <v>173</v>
      </c>
      <c r="AY3" s="42" t="s">
        <v>211</v>
      </c>
      <c r="AZ3" s="42" t="s">
        <v>212</v>
      </c>
      <c r="BA3" s="42" t="s">
        <v>175</v>
      </c>
      <c r="BB3" s="42" t="s">
        <v>12</v>
      </c>
    </row>
    <row r="4" spans="2:54" x14ac:dyDescent="0.2">
      <c r="B4" s="45" t="s">
        <v>160</v>
      </c>
      <c r="C4" s="45" t="s">
        <v>161</v>
      </c>
      <c r="D4" s="45" t="s">
        <v>162</v>
      </c>
      <c r="E4" s="45" t="s">
        <v>163</v>
      </c>
      <c r="F4" s="45" t="s">
        <v>164</v>
      </c>
      <c r="G4" s="39" t="str">
        <f>_xlfn.CONCAT(B4:F4)</f>
        <v>2025_BG_Sp_1E_FineRoots</v>
      </c>
      <c r="J4" s="45" t="s">
        <v>160</v>
      </c>
      <c r="K4" s="45" t="s">
        <v>161</v>
      </c>
      <c r="L4" s="45" t="s">
        <v>186</v>
      </c>
      <c r="M4" s="45" t="s">
        <v>163</v>
      </c>
      <c r="N4" s="45" t="s">
        <v>164</v>
      </c>
      <c r="O4" s="39" t="str">
        <f>_xlfn.CONCAT(J4:N4)</f>
        <v>2025_BG_Mx_1E_FineRoots</v>
      </c>
      <c r="R4" s="45" t="s">
        <v>160</v>
      </c>
      <c r="S4" s="45" t="s">
        <v>161</v>
      </c>
      <c r="T4" s="45" t="s">
        <v>195</v>
      </c>
      <c r="U4" s="45" t="s">
        <v>163</v>
      </c>
      <c r="V4" s="45" t="s">
        <v>164</v>
      </c>
      <c r="W4" s="39" t="str">
        <f>_xlfn.CONCAT(R4:V4)</f>
        <v>2025_BG_Sc_1E_FineRoots</v>
      </c>
      <c r="Y4" s="45" t="s">
        <v>160</v>
      </c>
      <c r="Z4" s="45" t="s">
        <v>161</v>
      </c>
      <c r="AA4" s="45" t="s">
        <v>208</v>
      </c>
      <c r="AB4" s="45" t="s">
        <v>227</v>
      </c>
      <c r="AC4" s="45" t="s">
        <v>164</v>
      </c>
      <c r="AD4" s="39" t="str">
        <f>_xlfn.CONCAT(Y4:AC4)</f>
        <v>2025_BG_2M_Ch1_FineRoots</v>
      </c>
      <c r="AF4" s="45" t="s">
        <v>160</v>
      </c>
      <c r="AG4" s="45" t="s">
        <v>161</v>
      </c>
      <c r="AH4" s="45" t="s">
        <v>210</v>
      </c>
      <c r="AI4" s="45" t="s">
        <v>213</v>
      </c>
      <c r="AJ4" s="45" t="s">
        <v>214</v>
      </c>
      <c r="AK4" s="45" t="s">
        <v>164</v>
      </c>
      <c r="AL4" s="45" t="str">
        <f t="shared" ref="AL4:AL35" si="0">_xlfn.CONCAT(AF4:AK4)</f>
        <v>2025_BG_Phrag_P1_1-3_FineRoots</v>
      </c>
      <c r="AM4" s="51"/>
      <c r="AN4" s="45" t="s">
        <v>160</v>
      </c>
      <c r="AO4" s="45" t="s">
        <v>161</v>
      </c>
      <c r="AP4" s="45" t="s">
        <v>320</v>
      </c>
      <c r="AQ4" s="45" t="s">
        <v>321</v>
      </c>
      <c r="AR4" s="45" t="s">
        <v>215</v>
      </c>
      <c r="AS4" s="45" t="s">
        <v>164</v>
      </c>
      <c r="AT4" s="45" t="str">
        <f>_xlfn.CONCAT(AN4:AS4)</f>
        <v>2025_BG_SMARTX_440_4-6_FineRoots</v>
      </c>
      <c r="AV4" s="45" t="s">
        <v>160</v>
      </c>
      <c r="AW4" s="45" t="s">
        <v>161</v>
      </c>
      <c r="AX4" s="45" t="s">
        <v>320</v>
      </c>
      <c r="AY4" s="45" t="s">
        <v>335</v>
      </c>
      <c r="AZ4" s="45" t="s">
        <v>215</v>
      </c>
      <c r="BA4" s="45" t="s">
        <v>164</v>
      </c>
      <c r="BB4" s="45" t="str">
        <f t="shared" ref="BB4:BB51" si="1">_xlfn.CONCAT(AV4:BA4)</f>
        <v>2025_BG_SMARTX_310_4-6_FineRoots</v>
      </c>
    </row>
    <row r="5" spans="2:54" x14ac:dyDescent="0.2">
      <c r="B5" s="45" t="s">
        <v>160</v>
      </c>
      <c r="C5" s="45" t="s">
        <v>161</v>
      </c>
      <c r="D5" s="45" t="s">
        <v>162</v>
      </c>
      <c r="E5" s="45" t="s">
        <v>163</v>
      </c>
      <c r="F5" s="46" t="s">
        <v>165</v>
      </c>
      <c r="G5" s="39" t="str">
        <f t="shared" ref="G5:G17" si="2">_xlfn.CONCAT(B5:F5)</f>
        <v>2025_BG_Sp_1E_C3Rhiz</v>
      </c>
      <c r="J5" s="45" t="s">
        <v>160</v>
      </c>
      <c r="K5" s="45" t="s">
        <v>161</v>
      </c>
      <c r="L5" s="45" t="s">
        <v>186</v>
      </c>
      <c r="M5" s="45" t="s">
        <v>163</v>
      </c>
      <c r="N5" s="46" t="s">
        <v>165</v>
      </c>
      <c r="O5" s="39" t="str">
        <f t="shared" ref="O5:O48" si="3">_xlfn.CONCAT(J5:N5)</f>
        <v>2025_BG_Mx_1E_C3Rhiz</v>
      </c>
      <c r="R5" s="45" t="s">
        <v>160</v>
      </c>
      <c r="S5" s="45" t="s">
        <v>161</v>
      </c>
      <c r="T5" s="45" t="s">
        <v>195</v>
      </c>
      <c r="U5" s="45" t="s">
        <v>163</v>
      </c>
      <c r="V5" s="46" t="s">
        <v>165</v>
      </c>
      <c r="W5" s="39" t="str">
        <f t="shared" ref="W5:W48" si="4">_xlfn.CONCAT(R5:V5)</f>
        <v>2025_BG_Sc_1E_C3Rhiz</v>
      </c>
      <c r="Y5" s="45" t="s">
        <v>160</v>
      </c>
      <c r="Z5" s="45" t="s">
        <v>161</v>
      </c>
      <c r="AA5" s="45" t="s">
        <v>208</v>
      </c>
      <c r="AB5" s="45" t="s">
        <v>227</v>
      </c>
      <c r="AC5" s="45" t="s">
        <v>165</v>
      </c>
      <c r="AD5" s="39" t="str">
        <f t="shared" ref="AD5:AD25" si="5">_xlfn.CONCAT(Y5:AC5)</f>
        <v>2025_BG_2M_Ch1_C3Rhiz</v>
      </c>
      <c r="AF5" s="45" t="s">
        <v>160</v>
      </c>
      <c r="AG5" s="45" t="s">
        <v>161</v>
      </c>
      <c r="AH5" s="45" t="s">
        <v>210</v>
      </c>
      <c r="AI5" s="45" t="s">
        <v>213</v>
      </c>
      <c r="AJ5" s="45" t="s">
        <v>214</v>
      </c>
      <c r="AK5" s="46" t="s">
        <v>165</v>
      </c>
      <c r="AL5" s="46" t="str">
        <f t="shared" si="0"/>
        <v>2025_BG_Phrag_P1_1-3_C3Rhiz</v>
      </c>
      <c r="AM5" s="51"/>
      <c r="AN5" s="45" t="s">
        <v>160</v>
      </c>
      <c r="AO5" s="45" t="s">
        <v>161</v>
      </c>
      <c r="AP5" s="45" t="s">
        <v>320</v>
      </c>
      <c r="AQ5" s="45" t="s">
        <v>321</v>
      </c>
      <c r="AR5" s="45" t="s">
        <v>215</v>
      </c>
      <c r="AS5" s="46" t="s">
        <v>165</v>
      </c>
      <c r="AT5" s="46" t="str">
        <f t="shared" ref="AT5:AT7" si="6">_xlfn.CONCAT(AN5:AS5)</f>
        <v>2025_BG_SMARTX_440_4-6_C3Rhiz</v>
      </c>
      <c r="AV5" s="45" t="s">
        <v>160</v>
      </c>
      <c r="AW5" s="45" t="s">
        <v>161</v>
      </c>
      <c r="AX5" s="45" t="s">
        <v>320</v>
      </c>
      <c r="AY5" s="45" t="s">
        <v>335</v>
      </c>
      <c r="AZ5" s="45" t="s">
        <v>215</v>
      </c>
      <c r="BA5" s="46" t="s">
        <v>165</v>
      </c>
      <c r="BB5" s="46" t="str">
        <f t="shared" si="1"/>
        <v>2025_BG_SMARTX_310_4-6_C3Rhiz</v>
      </c>
    </row>
    <row r="6" spans="2:54" x14ac:dyDescent="0.2">
      <c r="B6" s="45" t="s">
        <v>160</v>
      </c>
      <c r="C6" s="45" t="s">
        <v>161</v>
      </c>
      <c r="D6" s="45" t="s">
        <v>162</v>
      </c>
      <c r="E6" s="45" t="s">
        <v>163</v>
      </c>
      <c r="F6" s="45" t="s">
        <v>166</v>
      </c>
      <c r="G6" s="39" t="str">
        <f t="shared" si="2"/>
        <v>2025_BG_Sp_1E_C4Rhiz</v>
      </c>
      <c r="J6" s="45" t="s">
        <v>160</v>
      </c>
      <c r="K6" s="45" t="s">
        <v>161</v>
      </c>
      <c r="L6" s="45" t="s">
        <v>186</v>
      </c>
      <c r="M6" s="45" t="s">
        <v>163</v>
      </c>
      <c r="N6" s="45" t="s">
        <v>166</v>
      </c>
      <c r="O6" s="39" t="str">
        <f t="shared" si="3"/>
        <v>2025_BG_Mx_1E_C4Rhiz</v>
      </c>
      <c r="R6" s="45" t="s">
        <v>160</v>
      </c>
      <c r="S6" s="45" t="s">
        <v>161</v>
      </c>
      <c r="T6" s="45" t="s">
        <v>195</v>
      </c>
      <c r="U6" s="45" t="s">
        <v>163</v>
      </c>
      <c r="V6" s="45" t="s">
        <v>166</v>
      </c>
      <c r="W6" s="39" t="str">
        <f t="shared" si="4"/>
        <v>2025_BG_Sc_1E_C4Rhiz</v>
      </c>
      <c r="Y6" s="45" t="s">
        <v>160</v>
      </c>
      <c r="Z6" s="45" t="s">
        <v>161</v>
      </c>
      <c r="AA6" s="45" t="s">
        <v>208</v>
      </c>
      <c r="AB6" s="45" t="s">
        <v>227</v>
      </c>
      <c r="AC6" s="45" t="s">
        <v>166</v>
      </c>
      <c r="AD6" s="39" t="str">
        <f t="shared" si="5"/>
        <v>2025_BG_2M_Ch1_C4Rhiz</v>
      </c>
      <c r="AF6" s="45" t="s">
        <v>160</v>
      </c>
      <c r="AG6" s="45" t="s">
        <v>161</v>
      </c>
      <c r="AH6" s="45" t="s">
        <v>210</v>
      </c>
      <c r="AI6" s="45" t="s">
        <v>213</v>
      </c>
      <c r="AJ6" s="45" t="s">
        <v>214</v>
      </c>
      <c r="AK6" s="45" t="s">
        <v>166</v>
      </c>
      <c r="AL6" s="45" t="str">
        <f t="shared" si="0"/>
        <v>2025_BG_Phrag_P1_1-3_C4Rhiz</v>
      </c>
      <c r="AM6" s="51"/>
      <c r="AN6" s="45" t="s">
        <v>160</v>
      </c>
      <c r="AO6" s="45" t="s">
        <v>161</v>
      </c>
      <c r="AP6" s="45" t="s">
        <v>320</v>
      </c>
      <c r="AQ6" s="45" t="s">
        <v>321</v>
      </c>
      <c r="AR6" s="45" t="s">
        <v>215</v>
      </c>
      <c r="AS6" s="45" t="s">
        <v>166</v>
      </c>
      <c r="AT6" s="45" t="str">
        <f t="shared" si="6"/>
        <v>2025_BG_SMARTX_440_4-6_C4Rhiz</v>
      </c>
      <c r="AV6" s="45" t="s">
        <v>160</v>
      </c>
      <c r="AW6" s="45" t="s">
        <v>161</v>
      </c>
      <c r="AX6" s="45" t="s">
        <v>320</v>
      </c>
      <c r="AY6" s="45" t="s">
        <v>335</v>
      </c>
      <c r="AZ6" s="45" t="s">
        <v>215</v>
      </c>
      <c r="BA6" s="45" t="s">
        <v>166</v>
      </c>
      <c r="BB6" s="45" t="str">
        <f t="shared" si="1"/>
        <v>2025_BG_SMARTX_310_4-6_C4Rhiz</v>
      </c>
    </row>
    <row r="7" spans="2:54" x14ac:dyDescent="0.2">
      <c r="B7" s="39" t="s">
        <v>160</v>
      </c>
      <c r="C7" s="39" t="s">
        <v>161</v>
      </c>
      <c r="D7" s="39" t="s">
        <v>162</v>
      </c>
      <c r="E7" s="39" t="s">
        <v>167</v>
      </c>
      <c r="F7" s="39" t="s">
        <v>164</v>
      </c>
      <c r="G7" s="39" t="str">
        <f t="shared" si="2"/>
        <v>2025_BG_Sp_2A_FineRoots</v>
      </c>
      <c r="J7" s="39" t="s">
        <v>160</v>
      </c>
      <c r="K7" s="39" t="s">
        <v>161</v>
      </c>
      <c r="L7" s="39" t="s">
        <v>186</v>
      </c>
      <c r="M7" s="39" t="s">
        <v>167</v>
      </c>
      <c r="N7" s="39" t="s">
        <v>164</v>
      </c>
      <c r="O7" s="39" t="str">
        <f t="shared" si="3"/>
        <v>2025_BG_Mx_2A_FineRoots</v>
      </c>
      <c r="R7" s="39" t="s">
        <v>160</v>
      </c>
      <c r="S7" s="39" t="s">
        <v>161</v>
      </c>
      <c r="T7" s="39" t="s">
        <v>195</v>
      </c>
      <c r="U7" s="39" t="s">
        <v>167</v>
      </c>
      <c r="V7" s="39" t="s">
        <v>164</v>
      </c>
      <c r="W7" s="39" t="str">
        <f t="shared" si="4"/>
        <v>2025_BG_Sc_2A_FineRoots</v>
      </c>
      <c r="Y7" s="52" t="s">
        <v>160</v>
      </c>
      <c r="Z7" s="52" t="s">
        <v>161</v>
      </c>
      <c r="AA7" s="52" t="s">
        <v>208</v>
      </c>
      <c r="AB7" s="52" t="s">
        <v>228</v>
      </c>
      <c r="AC7" s="52" t="s">
        <v>164</v>
      </c>
      <c r="AD7" s="39" t="str">
        <f t="shared" si="5"/>
        <v>2025_BG_2M_Ch2_FineRoots</v>
      </c>
      <c r="AF7" s="45" t="s">
        <v>160</v>
      </c>
      <c r="AG7" s="45" t="s">
        <v>161</v>
      </c>
      <c r="AH7" s="45" t="s">
        <v>210</v>
      </c>
      <c r="AI7" s="45" t="s">
        <v>213</v>
      </c>
      <c r="AJ7" s="45" t="s">
        <v>214</v>
      </c>
      <c r="AK7" s="45" t="s">
        <v>209</v>
      </c>
      <c r="AL7" s="45" t="str">
        <f t="shared" si="0"/>
        <v>2025_BG_Phrag_P1_1-3_PhragRhiz</v>
      </c>
      <c r="AM7" s="51"/>
      <c r="AN7" s="45" t="s">
        <v>160</v>
      </c>
      <c r="AO7" s="45" t="s">
        <v>161</v>
      </c>
      <c r="AP7" s="45" t="s">
        <v>320</v>
      </c>
      <c r="AQ7" s="45" t="s">
        <v>321</v>
      </c>
      <c r="AR7" s="45" t="s">
        <v>215</v>
      </c>
      <c r="AS7" s="45" t="s">
        <v>333</v>
      </c>
      <c r="AT7" s="45" t="str">
        <f t="shared" si="6"/>
        <v>2025_BG_SMARTX_440_4-6_OtherRhiz</v>
      </c>
      <c r="AV7" s="45" t="s">
        <v>160</v>
      </c>
      <c r="AW7" s="45" t="s">
        <v>161</v>
      </c>
      <c r="AX7" s="45" t="s">
        <v>320</v>
      </c>
      <c r="AY7" s="45" t="s">
        <v>335</v>
      </c>
      <c r="AZ7" s="45" t="s">
        <v>215</v>
      </c>
      <c r="BA7" s="45" t="s">
        <v>333</v>
      </c>
      <c r="BB7" s="45" t="str">
        <f t="shared" si="1"/>
        <v>2025_BG_SMARTX_310_4-6_OtherRhiz</v>
      </c>
    </row>
    <row r="8" spans="2:54" x14ac:dyDescent="0.2">
      <c r="B8" s="39" t="s">
        <v>160</v>
      </c>
      <c r="C8" s="39" t="s">
        <v>161</v>
      </c>
      <c r="D8" s="39" t="s">
        <v>162</v>
      </c>
      <c r="E8" s="39" t="s">
        <v>167</v>
      </c>
      <c r="F8" s="44" t="s">
        <v>165</v>
      </c>
      <c r="G8" s="39" t="str">
        <f t="shared" si="2"/>
        <v>2025_BG_Sp_2A_C3Rhiz</v>
      </c>
      <c r="J8" s="39" t="s">
        <v>160</v>
      </c>
      <c r="K8" s="39" t="s">
        <v>161</v>
      </c>
      <c r="L8" s="39" t="s">
        <v>186</v>
      </c>
      <c r="M8" s="39" t="s">
        <v>167</v>
      </c>
      <c r="N8" s="44" t="s">
        <v>165</v>
      </c>
      <c r="O8" s="39" t="str">
        <f t="shared" si="3"/>
        <v>2025_BG_Mx_2A_C3Rhiz</v>
      </c>
      <c r="R8" s="39" t="s">
        <v>160</v>
      </c>
      <c r="S8" s="39" t="s">
        <v>161</v>
      </c>
      <c r="T8" s="39" t="s">
        <v>195</v>
      </c>
      <c r="U8" s="39" t="s">
        <v>167</v>
      </c>
      <c r="V8" s="44" t="s">
        <v>165</v>
      </c>
      <c r="W8" s="39" t="str">
        <f t="shared" si="4"/>
        <v>2025_BG_Sc_2A_C3Rhiz</v>
      </c>
      <c r="Y8" s="52" t="s">
        <v>160</v>
      </c>
      <c r="Z8" s="52" t="s">
        <v>161</v>
      </c>
      <c r="AA8" s="52" t="s">
        <v>208</v>
      </c>
      <c r="AB8" s="52" t="s">
        <v>228</v>
      </c>
      <c r="AC8" s="53" t="s">
        <v>165</v>
      </c>
      <c r="AD8" s="39" t="str">
        <f t="shared" si="5"/>
        <v>2025_BG_2M_Ch2_C3Rhiz</v>
      </c>
      <c r="AF8" s="57" t="s">
        <v>160</v>
      </c>
      <c r="AG8" s="57" t="s">
        <v>161</v>
      </c>
      <c r="AH8" s="57" t="s">
        <v>210</v>
      </c>
      <c r="AI8" s="57" t="s">
        <v>213</v>
      </c>
      <c r="AJ8" s="57" t="s">
        <v>215</v>
      </c>
      <c r="AK8" s="57" t="s">
        <v>164</v>
      </c>
      <c r="AL8" s="57" t="str">
        <f t="shared" si="0"/>
        <v>2025_BG_Phrag_P1_4-6_FineRoots</v>
      </c>
      <c r="AM8" s="51"/>
      <c r="AN8" s="52" t="s">
        <v>160</v>
      </c>
      <c r="AO8" s="52" t="s">
        <v>161</v>
      </c>
      <c r="AP8" s="52" t="s">
        <v>320</v>
      </c>
      <c r="AQ8" s="52" t="s">
        <v>322</v>
      </c>
      <c r="AR8" s="52" t="s">
        <v>215</v>
      </c>
      <c r="AS8" s="52" t="s">
        <v>164</v>
      </c>
      <c r="AT8" s="52" t="str">
        <f t="shared" ref="AT8:AT26" si="7">_xlfn.CONCAT(AN8:AS8)</f>
        <v>2025_BG_SMARTX_441_4-6_FineRoots</v>
      </c>
      <c r="AV8" s="52" t="s">
        <v>160</v>
      </c>
      <c r="AW8" s="52" t="s">
        <v>161</v>
      </c>
      <c r="AX8" s="52" t="s">
        <v>320</v>
      </c>
      <c r="AY8" s="52" t="s">
        <v>336</v>
      </c>
      <c r="AZ8" s="52" t="s">
        <v>215</v>
      </c>
      <c r="BA8" s="52" t="s">
        <v>164</v>
      </c>
      <c r="BB8" s="52" t="str">
        <f t="shared" si="1"/>
        <v>2025_BG_SMARTX_311_4-6_FineRoots</v>
      </c>
    </row>
    <row r="9" spans="2:54" x14ac:dyDescent="0.2">
      <c r="B9" s="39" t="s">
        <v>160</v>
      </c>
      <c r="C9" s="39" t="s">
        <v>161</v>
      </c>
      <c r="D9" s="39" t="s">
        <v>162</v>
      </c>
      <c r="E9" s="39" t="s">
        <v>167</v>
      </c>
      <c r="F9" s="39" t="s">
        <v>166</v>
      </c>
      <c r="G9" s="39" t="str">
        <f t="shared" si="2"/>
        <v>2025_BG_Sp_2A_C4Rhiz</v>
      </c>
      <c r="J9" s="39" t="s">
        <v>160</v>
      </c>
      <c r="K9" s="39" t="s">
        <v>161</v>
      </c>
      <c r="L9" s="39" t="s">
        <v>186</v>
      </c>
      <c r="M9" s="39" t="s">
        <v>167</v>
      </c>
      <c r="N9" s="39" t="s">
        <v>166</v>
      </c>
      <c r="O9" s="39" t="str">
        <f t="shared" si="3"/>
        <v>2025_BG_Mx_2A_C4Rhiz</v>
      </c>
      <c r="R9" s="39" t="s">
        <v>160</v>
      </c>
      <c r="S9" s="39" t="s">
        <v>161</v>
      </c>
      <c r="T9" s="39" t="s">
        <v>195</v>
      </c>
      <c r="U9" s="39" t="s">
        <v>167</v>
      </c>
      <c r="V9" s="39" t="s">
        <v>166</v>
      </c>
      <c r="W9" s="39" t="str">
        <f t="shared" si="4"/>
        <v>2025_BG_Sc_2A_C4Rhiz</v>
      </c>
      <c r="Y9" s="52" t="s">
        <v>160</v>
      </c>
      <c r="Z9" s="52" t="s">
        <v>161</v>
      </c>
      <c r="AA9" s="52" t="s">
        <v>208</v>
      </c>
      <c r="AB9" s="52" t="s">
        <v>228</v>
      </c>
      <c r="AC9" s="52" t="s">
        <v>166</v>
      </c>
      <c r="AD9" s="39" t="str">
        <f t="shared" si="5"/>
        <v>2025_BG_2M_Ch2_C4Rhiz</v>
      </c>
      <c r="AF9" s="57" t="s">
        <v>160</v>
      </c>
      <c r="AG9" s="57" t="s">
        <v>161</v>
      </c>
      <c r="AH9" s="57" t="s">
        <v>210</v>
      </c>
      <c r="AI9" s="57" t="s">
        <v>213</v>
      </c>
      <c r="AJ9" s="57" t="s">
        <v>215</v>
      </c>
      <c r="AK9" s="58" t="s">
        <v>165</v>
      </c>
      <c r="AL9" s="58" t="str">
        <f t="shared" si="0"/>
        <v>2025_BG_Phrag_P1_4-6_C3Rhiz</v>
      </c>
      <c r="AM9" s="51"/>
      <c r="AN9" s="52" t="s">
        <v>160</v>
      </c>
      <c r="AO9" s="52" t="s">
        <v>161</v>
      </c>
      <c r="AP9" s="52" t="s">
        <v>320</v>
      </c>
      <c r="AQ9" s="52" t="s">
        <v>322</v>
      </c>
      <c r="AR9" s="52" t="s">
        <v>215</v>
      </c>
      <c r="AS9" s="53" t="s">
        <v>165</v>
      </c>
      <c r="AT9" s="53" t="str">
        <f t="shared" si="7"/>
        <v>2025_BG_SMARTX_441_4-6_C3Rhiz</v>
      </c>
      <c r="AV9" s="52" t="s">
        <v>160</v>
      </c>
      <c r="AW9" s="52" t="s">
        <v>161</v>
      </c>
      <c r="AX9" s="52" t="s">
        <v>320</v>
      </c>
      <c r="AY9" s="52" t="s">
        <v>336</v>
      </c>
      <c r="AZ9" s="52" t="s">
        <v>215</v>
      </c>
      <c r="BA9" s="53" t="s">
        <v>165</v>
      </c>
      <c r="BB9" s="53" t="str">
        <f t="shared" si="1"/>
        <v>2025_BG_SMARTX_311_4-6_C3Rhiz</v>
      </c>
    </row>
    <row r="10" spans="2:54" x14ac:dyDescent="0.2">
      <c r="B10" s="45" t="s">
        <v>160</v>
      </c>
      <c r="C10" s="45" t="s">
        <v>161</v>
      </c>
      <c r="D10" s="45" t="s">
        <v>162</v>
      </c>
      <c r="E10" s="45" t="s">
        <v>168</v>
      </c>
      <c r="F10" s="45" t="s">
        <v>164</v>
      </c>
      <c r="G10" s="39" t="str">
        <f t="shared" si="2"/>
        <v>2025_BG_Sp_3C_FineRoots</v>
      </c>
      <c r="J10" s="45" t="s">
        <v>160</v>
      </c>
      <c r="K10" s="45" t="s">
        <v>161</v>
      </c>
      <c r="L10" s="45" t="s">
        <v>186</v>
      </c>
      <c r="M10" s="45" t="s">
        <v>168</v>
      </c>
      <c r="N10" s="45" t="s">
        <v>164</v>
      </c>
      <c r="O10" s="39" t="str">
        <f t="shared" si="3"/>
        <v>2025_BG_Mx_3C_FineRoots</v>
      </c>
      <c r="R10" s="45" t="s">
        <v>160</v>
      </c>
      <c r="S10" s="45" t="s">
        <v>161</v>
      </c>
      <c r="T10" s="45" t="s">
        <v>195</v>
      </c>
      <c r="U10" s="45" t="s">
        <v>168</v>
      </c>
      <c r="V10" s="45" t="s">
        <v>164</v>
      </c>
      <c r="W10" s="39" t="str">
        <f t="shared" si="4"/>
        <v>2025_BG_Sc_3C_FineRoots</v>
      </c>
      <c r="Y10" s="45" t="s">
        <v>160</v>
      </c>
      <c r="Z10" s="45" t="s">
        <v>161</v>
      </c>
      <c r="AA10" s="45" t="s">
        <v>208</v>
      </c>
      <c r="AB10" s="45" t="s">
        <v>229</v>
      </c>
      <c r="AC10" s="45" t="s">
        <v>164</v>
      </c>
      <c r="AD10" s="39" t="str">
        <f t="shared" si="5"/>
        <v>2025_BG_2M_Ch3_FineRoots</v>
      </c>
      <c r="AF10" s="57" t="s">
        <v>160</v>
      </c>
      <c r="AG10" s="57" t="s">
        <v>161</v>
      </c>
      <c r="AH10" s="57" t="s">
        <v>210</v>
      </c>
      <c r="AI10" s="57" t="s">
        <v>213</v>
      </c>
      <c r="AJ10" s="57" t="s">
        <v>215</v>
      </c>
      <c r="AK10" s="57" t="s">
        <v>166</v>
      </c>
      <c r="AL10" s="57" t="str">
        <f t="shared" si="0"/>
        <v>2025_BG_Phrag_P1_4-6_C4Rhiz</v>
      </c>
      <c r="AM10" s="51"/>
      <c r="AN10" s="52" t="s">
        <v>160</v>
      </c>
      <c r="AO10" s="52" t="s">
        <v>161</v>
      </c>
      <c r="AP10" s="52" t="s">
        <v>320</v>
      </c>
      <c r="AQ10" s="52" t="s">
        <v>322</v>
      </c>
      <c r="AR10" s="52" t="s">
        <v>215</v>
      </c>
      <c r="AS10" s="52" t="s">
        <v>166</v>
      </c>
      <c r="AT10" s="52" t="str">
        <f t="shared" si="7"/>
        <v>2025_BG_SMARTX_441_4-6_C4Rhiz</v>
      </c>
      <c r="AV10" s="52" t="s">
        <v>160</v>
      </c>
      <c r="AW10" s="52" t="s">
        <v>161</v>
      </c>
      <c r="AX10" s="52" t="s">
        <v>320</v>
      </c>
      <c r="AY10" s="52" t="s">
        <v>336</v>
      </c>
      <c r="AZ10" s="52" t="s">
        <v>215</v>
      </c>
      <c r="BA10" s="52" t="s">
        <v>166</v>
      </c>
      <c r="BB10" s="52" t="str">
        <f t="shared" si="1"/>
        <v>2025_BG_SMARTX_311_4-6_C4Rhiz</v>
      </c>
    </row>
    <row r="11" spans="2:54" x14ac:dyDescent="0.2">
      <c r="B11" s="45" t="s">
        <v>160</v>
      </c>
      <c r="C11" s="45" t="s">
        <v>161</v>
      </c>
      <c r="D11" s="45" t="s">
        <v>162</v>
      </c>
      <c r="E11" s="45" t="s">
        <v>168</v>
      </c>
      <c r="F11" s="45" t="s">
        <v>165</v>
      </c>
      <c r="G11" s="39" t="str">
        <f t="shared" ref="G11" si="8">_xlfn.CONCAT(B11:F11)</f>
        <v>2025_BG_Sp_3C_C3Rhiz</v>
      </c>
      <c r="J11" s="45" t="s">
        <v>160</v>
      </c>
      <c r="K11" s="45" t="s">
        <v>161</v>
      </c>
      <c r="L11" s="45" t="s">
        <v>186</v>
      </c>
      <c r="M11" s="45" t="s">
        <v>168</v>
      </c>
      <c r="N11" s="45" t="s">
        <v>165</v>
      </c>
      <c r="O11" s="39" t="str">
        <f t="shared" si="3"/>
        <v>2025_BG_Mx_3C_C3Rhiz</v>
      </c>
      <c r="R11" s="45" t="s">
        <v>160</v>
      </c>
      <c r="S11" s="45" t="s">
        <v>161</v>
      </c>
      <c r="T11" s="45" t="s">
        <v>195</v>
      </c>
      <c r="U11" s="45" t="s">
        <v>168</v>
      </c>
      <c r="V11" s="45" t="s">
        <v>165</v>
      </c>
      <c r="W11" s="39" t="str">
        <f t="shared" si="4"/>
        <v>2025_BG_Sc_3C_C3Rhiz</v>
      </c>
      <c r="Y11" s="45" t="s">
        <v>160</v>
      </c>
      <c r="Z11" s="45" t="s">
        <v>161</v>
      </c>
      <c r="AA11" s="45" t="s">
        <v>208</v>
      </c>
      <c r="AB11" s="45" t="s">
        <v>229</v>
      </c>
      <c r="AC11" s="45" t="s">
        <v>165</v>
      </c>
      <c r="AD11" s="39" t="str">
        <f t="shared" si="5"/>
        <v>2025_BG_2M_Ch3_C3Rhiz</v>
      </c>
      <c r="AF11" s="57" t="s">
        <v>160</v>
      </c>
      <c r="AG11" s="57" t="s">
        <v>161</v>
      </c>
      <c r="AH11" s="57" t="s">
        <v>210</v>
      </c>
      <c r="AI11" s="57" t="s">
        <v>213</v>
      </c>
      <c r="AJ11" s="57" t="s">
        <v>215</v>
      </c>
      <c r="AK11" s="57" t="s">
        <v>209</v>
      </c>
      <c r="AL11" s="57" t="str">
        <f t="shared" si="0"/>
        <v>2025_BG_Phrag_P1_4-6_PhragRhiz</v>
      </c>
      <c r="AM11" s="51"/>
      <c r="AN11" s="52" t="s">
        <v>160</v>
      </c>
      <c r="AO11" s="52" t="s">
        <v>161</v>
      </c>
      <c r="AP11" s="52" t="s">
        <v>320</v>
      </c>
      <c r="AQ11" s="52" t="s">
        <v>322</v>
      </c>
      <c r="AR11" s="52" t="s">
        <v>215</v>
      </c>
      <c r="AS11" s="52" t="s">
        <v>333</v>
      </c>
      <c r="AT11" s="52" t="str">
        <f t="shared" si="7"/>
        <v>2025_BG_SMARTX_441_4-6_OtherRhiz</v>
      </c>
      <c r="AV11" s="52" t="s">
        <v>160</v>
      </c>
      <c r="AW11" s="52" t="s">
        <v>161</v>
      </c>
      <c r="AX11" s="52" t="s">
        <v>320</v>
      </c>
      <c r="AY11" s="52" t="s">
        <v>336</v>
      </c>
      <c r="AZ11" s="52" t="s">
        <v>215</v>
      </c>
      <c r="BA11" s="52" t="s">
        <v>333</v>
      </c>
      <c r="BB11" s="52" t="str">
        <f t="shared" si="1"/>
        <v>2025_BG_SMARTX_311_4-6_OtherRhiz</v>
      </c>
    </row>
    <row r="12" spans="2:54" x14ac:dyDescent="0.2">
      <c r="B12" s="45" t="s">
        <v>160</v>
      </c>
      <c r="C12" s="45" t="s">
        <v>161</v>
      </c>
      <c r="D12" s="45" t="s">
        <v>162</v>
      </c>
      <c r="E12" s="45" t="s">
        <v>168</v>
      </c>
      <c r="F12" s="46" t="s">
        <v>166</v>
      </c>
      <c r="G12" s="39" t="str">
        <f t="shared" si="2"/>
        <v>2025_BG_Sp_3C_C4Rhiz</v>
      </c>
      <c r="J12" s="45" t="s">
        <v>160</v>
      </c>
      <c r="K12" s="45" t="s">
        <v>161</v>
      </c>
      <c r="L12" s="45" t="s">
        <v>186</v>
      </c>
      <c r="M12" s="45" t="s">
        <v>168</v>
      </c>
      <c r="N12" s="46" t="s">
        <v>166</v>
      </c>
      <c r="O12" s="39" t="str">
        <f t="shared" si="3"/>
        <v>2025_BG_Mx_3C_C4Rhiz</v>
      </c>
      <c r="R12" s="45" t="s">
        <v>160</v>
      </c>
      <c r="S12" s="45" t="s">
        <v>161</v>
      </c>
      <c r="T12" s="45" t="s">
        <v>195</v>
      </c>
      <c r="U12" s="45" t="s">
        <v>168</v>
      </c>
      <c r="V12" s="46" t="s">
        <v>166</v>
      </c>
      <c r="W12" s="39" t="str">
        <f t="shared" si="4"/>
        <v>2025_BG_Sc_3C_C4Rhiz</v>
      </c>
      <c r="Y12" s="45" t="s">
        <v>160</v>
      </c>
      <c r="Z12" s="45" t="s">
        <v>161</v>
      </c>
      <c r="AA12" s="45" t="s">
        <v>208</v>
      </c>
      <c r="AB12" s="45" t="s">
        <v>229</v>
      </c>
      <c r="AC12" s="45" t="s">
        <v>166</v>
      </c>
      <c r="AD12" s="39" t="str">
        <f t="shared" si="5"/>
        <v>2025_BG_2M_Ch3_C4Rhiz</v>
      </c>
      <c r="AF12" s="59" t="s">
        <v>160</v>
      </c>
      <c r="AG12" s="59" t="s">
        <v>161</v>
      </c>
      <c r="AH12" s="59" t="s">
        <v>210</v>
      </c>
      <c r="AI12" s="59" t="s">
        <v>216</v>
      </c>
      <c r="AJ12" s="59" t="s">
        <v>214</v>
      </c>
      <c r="AK12" s="59" t="s">
        <v>164</v>
      </c>
      <c r="AL12" s="59" t="str">
        <f t="shared" si="0"/>
        <v>2025_BG_Phrag_P2_1-3_FineRoots</v>
      </c>
      <c r="AM12" s="51"/>
      <c r="AN12" s="45" t="s">
        <v>160</v>
      </c>
      <c r="AO12" s="45" t="s">
        <v>161</v>
      </c>
      <c r="AP12" s="45" t="s">
        <v>320</v>
      </c>
      <c r="AQ12" s="45" t="s">
        <v>323</v>
      </c>
      <c r="AR12" s="45" t="s">
        <v>215</v>
      </c>
      <c r="AS12" s="45" t="s">
        <v>164</v>
      </c>
      <c r="AT12" s="45" t="str">
        <f t="shared" si="7"/>
        <v>2025_BG_SMARTX_442_4-6_FineRoots</v>
      </c>
      <c r="AV12" s="45" t="s">
        <v>160</v>
      </c>
      <c r="AW12" s="45" t="s">
        <v>161</v>
      </c>
      <c r="AX12" s="45" t="s">
        <v>320</v>
      </c>
      <c r="AY12" s="45" t="s">
        <v>337</v>
      </c>
      <c r="AZ12" s="45" t="s">
        <v>215</v>
      </c>
      <c r="BA12" s="45" t="s">
        <v>164</v>
      </c>
      <c r="BB12" s="45" t="str">
        <f t="shared" si="1"/>
        <v>2025_BG_SMARTX_312_4-6_FineRoots</v>
      </c>
    </row>
    <row r="13" spans="2:54" x14ac:dyDescent="0.2">
      <c r="B13" s="39" t="s">
        <v>160</v>
      </c>
      <c r="C13" s="39" t="s">
        <v>161</v>
      </c>
      <c r="D13" s="39" t="s">
        <v>162</v>
      </c>
      <c r="E13" s="39" t="s">
        <v>169</v>
      </c>
      <c r="F13" s="39" t="s">
        <v>164</v>
      </c>
      <c r="G13" s="39" t="str">
        <f t="shared" si="2"/>
        <v>2025_BG_Sp_4E_FineRoots</v>
      </c>
      <c r="J13" s="39" t="s">
        <v>160</v>
      </c>
      <c r="K13" s="39" t="s">
        <v>161</v>
      </c>
      <c r="L13" s="39" t="s">
        <v>186</v>
      </c>
      <c r="M13" s="39" t="s">
        <v>169</v>
      </c>
      <c r="N13" s="39" t="s">
        <v>164</v>
      </c>
      <c r="O13" s="39" t="str">
        <f t="shared" si="3"/>
        <v>2025_BG_Mx_4E_FineRoots</v>
      </c>
      <c r="R13" s="39" t="s">
        <v>160</v>
      </c>
      <c r="S13" s="39" t="s">
        <v>161</v>
      </c>
      <c r="T13" s="39" t="s">
        <v>195</v>
      </c>
      <c r="U13" s="39" t="s">
        <v>196</v>
      </c>
      <c r="V13" s="39" t="s">
        <v>164</v>
      </c>
      <c r="W13" s="39" t="str">
        <f t="shared" si="4"/>
        <v>2025_BG_Sc_4A__FineRoots</v>
      </c>
      <c r="Y13" s="52" t="s">
        <v>160</v>
      </c>
      <c r="Z13" s="52" t="s">
        <v>161</v>
      </c>
      <c r="AA13" s="52" t="s">
        <v>208</v>
      </c>
      <c r="AB13" s="52" t="s">
        <v>230</v>
      </c>
      <c r="AC13" s="52" t="s">
        <v>164</v>
      </c>
      <c r="AD13" s="39" t="str">
        <f t="shared" si="5"/>
        <v>2025_BG_2M_Ch4_FineRoots</v>
      </c>
      <c r="AF13" s="59" t="s">
        <v>160</v>
      </c>
      <c r="AG13" s="59" t="s">
        <v>161</v>
      </c>
      <c r="AH13" s="59" t="s">
        <v>210</v>
      </c>
      <c r="AI13" s="59" t="s">
        <v>216</v>
      </c>
      <c r="AJ13" s="59" t="s">
        <v>214</v>
      </c>
      <c r="AK13" s="60" t="s">
        <v>165</v>
      </c>
      <c r="AL13" s="60" t="str">
        <f t="shared" si="0"/>
        <v>2025_BG_Phrag_P2_1-3_C3Rhiz</v>
      </c>
      <c r="AM13" s="51"/>
      <c r="AN13" s="45" t="s">
        <v>160</v>
      </c>
      <c r="AO13" s="45" t="s">
        <v>161</v>
      </c>
      <c r="AP13" s="45" t="s">
        <v>320</v>
      </c>
      <c r="AQ13" s="45" t="s">
        <v>323</v>
      </c>
      <c r="AR13" s="45" t="s">
        <v>215</v>
      </c>
      <c r="AS13" s="46" t="s">
        <v>165</v>
      </c>
      <c r="AT13" s="46" t="str">
        <f t="shared" si="7"/>
        <v>2025_BG_SMARTX_442_4-6_C3Rhiz</v>
      </c>
      <c r="AV13" s="45" t="s">
        <v>160</v>
      </c>
      <c r="AW13" s="45" t="s">
        <v>161</v>
      </c>
      <c r="AX13" s="45" t="s">
        <v>320</v>
      </c>
      <c r="AY13" s="45" t="s">
        <v>337</v>
      </c>
      <c r="AZ13" s="45" t="s">
        <v>215</v>
      </c>
      <c r="BA13" s="46" t="s">
        <v>165</v>
      </c>
      <c r="BB13" s="46" t="str">
        <f t="shared" si="1"/>
        <v>2025_BG_SMARTX_312_4-6_C3Rhiz</v>
      </c>
    </row>
    <row r="14" spans="2:54" x14ac:dyDescent="0.2">
      <c r="B14" s="39" t="s">
        <v>160</v>
      </c>
      <c r="C14" s="39" t="s">
        <v>161</v>
      </c>
      <c r="D14" s="39" t="s">
        <v>162</v>
      </c>
      <c r="E14" s="39" t="s">
        <v>169</v>
      </c>
      <c r="F14" s="44" t="s">
        <v>165</v>
      </c>
      <c r="G14" s="39" t="str">
        <f t="shared" si="2"/>
        <v>2025_BG_Sp_4E_C3Rhiz</v>
      </c>
      <c r="J14" s="39" t="s">
        <v>160</v>
      </c>
      <c r="K14" s="39" t="s">
        <v>161</v>
      </c>
      <c r="L14" s="39" t="s">
        <v>186</v>
      </c>
      <c r="M14" s="39" t="s">
        <v>169</v>
      </c>
      <c r="N14" s="44" t="s">
        <v>165</v>
      </c>
      <c r="O14" s="39" t="str">
        <f t="shared" si="3"/>
        <v>2025_BG_Mx_4E_C3Rhiz</v>
      </c>
      <c r="R14" s="39" t="s">
        <v>160</v>
      </c>
      <c r="S14" s="39" t="s">
        <v>161</v>
      </c>
      <c r="T14" s="39" t="s">
        <v>195</v>
      </c>
      <c r="U14" s="39" t="s">
        <v>196</v>
      </c>
      <c r="V14" s="44" t="s">
        <v>165</v>
      </c>
      <c r="W14" s="39" t="str">
        <f t="shared" si="4"/>
        <v>2025_BG_Sc_4A__C3Rhiz</v>
      </c>
      <c r="Y14" s="52" t="s">
        <v>160</v>
      </c>
      <c r="Z14" s="52" t="s">
        <v>161</v>
      </c>
      <c r="AA14" s="52" t="s">
        <v>208</v>
      </c>
      <c r="AB14" s="52" t="s">
        <v>230</v>
      </c>
      <c r="AC14" s="53" t="s">
        <v>165</v>
      </c>
      <c r="AD14" s="39" t="str">
        <f t="shared" si="5"/>
        <v>2025_BG_2M_Ch4_C3Rhiz</v>
      </c>
      <c r="AF14" s="59" t="s">
        <v>160</v>
      </c>
      <c r="AG14" s="59" t="s">
        <v>161</v>
      </c>
      <c r="AH14" s="59" t="s">
        <v>210</v>
      </c>
      <c r="AI14" s="59" t="s">
        <v>216</v>
      </c>
      <c r="AJ14" s="59" t="s">
        <v>214</v>
      </c>
      <c r="AK14" s="59" t="s">
        <v>166</v>
      </c>
      <c r="AL14" s="59" t="str">
        <f t="shared" si="0"/>
        <v>2025_BG_Phrag_P2_1-3_C4Rhiz</v>
      </c>
      <c r="AM14" s="51"/>
      <c r="AN14" s="45" t="s">
        <v>160</v>
      </c>
      <c r="AO14" s="45" t="s">
        <v>161</v>
      </c>
      <c r="AP14" s="45" t="s">
        <v>320</v>
      </c>
      <c r="AQ14" s="45" t="s">
        <v>323</v>
      </c>
      <c r="AR14" s="45" t="s">
        <v>215</v>
      </c>
      <c r="AS14" s="45" t="s">
        <v>166</v>
      </c>
      <c r="AT14" s="45" t="str">
        <f t="shared" si="7"/>
        <v>2025_BG_SMARTX_442_4-6_C4Rhiz</v>
      </c>
      <c r="AV14" s="45" t="s">
        <v>160</v>
      </c>
      <c r="AW14" s="45" t="s">
        <v>161</v>
      </c>
      <c r="AX14" s="45" t="s">
        <v>320</v>
      </c>
      <c r="AY14" s="45" t="s">
        <v>337</v>
      </c>
      <c r="AZ14" s="45" t="s">
        <v>215</v>
      </c>
      <c r="BA14" s="45" t="s">
        <v>166</v>
      </c>
      <c r="BB14" s="45" t="str">
        <f t="shared" si="1"/>
        <v>2025_BG_SMARTX_312_4-6_C4Rhiz</v>
      </c>
    </row>
    <row r="15" spans="2:54" x14ac:dyDescent="0.2">
      <c r="B15" s="39" t="s">
        <v>160</v>
      </c>
      <c r="C15" s="39" t="s">
        <v>161</v>
      </c>
      <c r="D15" s="39" t="s">
        <v>162</v>
      </c>
      <c r="E15" s="39" t="s">
        <v>169</v>
      </c>
      <c r="F15" s="39" t="s">
        <v>166</v>
      </c>
      <c r="G15" s="39" t="str">
        <f t="shared" si="2"/>
        <v>2025_BG_Sp_4E_C4Rhiz</v>
      </c>
      <c r="J15" s="39" t="s">
        <v>160</v>
      </c>
      <c r="K15" s="39" t="s">
        <v>161</v>
      </c>
      <c r="L15" s="39" t="s">
        <v>186</v>
      </c>
      <c r="M15" s="39" t="s">
        <v>169</v>
      </c>
      <c r="N15" s="39" t="s">
        <v>166</v>
      </c>
      <c r="O15" s="39" t="str">
        <f t="shared" si="3"/>
        <v>2025_BG_Mx_4E_C4Rhiz</v>
      </c>
      <c r="R15" s="39" t="s">
        <v>160</v>
      </c>
      <c r="S15" s="39" t="s">
        <v>161</v>
      </c>
      <c r="T15" s="39" t="s">
        <v>195</v>
      </c>
      <c r="U15" s="39" t="s">
        <v>196</v>
      </c>
      <c r="V15" s="39" t="s">
        <v>166</v>
      </c>
      <c r="W15" s="39" t="str">
        <f t="shared" si="4"/>
        <v>2025_BG_Sc_4A__C4Rhiz</v>
      </c>
      <c r="Y15" s="52" t="s">
        <v>160</v>
      </c>
      <c r="Z15" s="52" t="s">
        <v>161</v>
      </c>
      <c r="AA15" s="52" t="s">
        <v>208</v>
      </c>
      <c r="AB15" s="52" t="s">
        <v>230</v>
      </c>
      <c r="AC15" s="52" t="s">
        <v>166</v>
      </c>
      <c r="AD15" s="39" t="str">
        <f t="shared" si="5"/>
        <v>2025_BG_2M_Ch4_C4Rhiz</v>
      </c>
      <c r="AF15" s="59" t="s">
        <v>160</v>
      </c>
      <c r="AG15" s="59" t="s">
        <v>161</v>
      </c>
      <c r="AH15" s="59" t="s">
        <v>210</v>
      </c>
      <c r="AI15" s="59" t="s">
        <v>216</v>
      </c>
      <c r="AJ15" s="59" t="s">
        <v>214</v>
      </c>
      <c r="AK15" s="59" t="s">
        <v>209</v>
      </c>
      <c r="AL15" s="59" t="str">
        <f t="shared" si="0"/>
        <v>2025_BG_Phrag_P2_1-3_PhragRhiz</v>
      </c>
      <c r="AM15" s="51"/>
      <c r="AN15" s="45" t="s">
        <v>160</v>
      </c>
      <c r="AO15" s="45" t="s">
        <v>161</v>
      </c>
      <c r="AP15" s="45" t="s">
        <v>320</v>
      </c>
      <c r="AQ15" s="45" t="s">
        <v>323</v>
      </c>
      <c r="AR15" s="45" t="s">
        <v>215</v>
      </c>
      <c r="AS15" s="45" t="s">
        <v>333</v>
      </c>
      <c r="AT15" s="45" t="str">
        <f t="shared" si="7"/>
        <v>2025_BG_SMARTX_442_4-6_OtherRhiz</v>
      </c>
      <c r="AV15" s="45" t="s">
        <v>160</v>
      </c>
      <c r="AW15" s="45" t="s">
        <v>161</v>
      </c>
      <c r="AX15" s="45" t="s">
        <v>320</v>
      </c>
      <c r="AY15" s="45" t="s">
        <v>337</v>
      </c>
      <c r="AZ15" s="45" t="s">
        <v>215</v>
      </c>
      <c r="BA15" s="45" t="s">
        <v>333</v>
      </c>
      <c r="BB15" s="45" t="str">
        <f t="shared" si="1"/>
        <v>2025_BG_SMARTX_312_4-6_OtherRhiz</v>
      </c>
    </row>
    <row r="16" spans="2:54" x14ac:dyDescent="0.2">
      <c r="B16" s="45" t="s">
        <v>160</v>
      </c>
      <c r="C16" s="45" t="s">
        <v>161</v>
      </c>
      <c r="D16" s="45" t="s">
        <v>162</v>
      </c>
      <c r="E16" s="45" t="s">
        <v>170</v>
      </c>
      <c r="F16" s="45" t="s">
        <v>164</v>
      </c>
      <c r="G16" s="39" t="str">
        <f t="shared" si="2"/>
        <v>2025_BG_Sp_5A_FineRoots</v>
      </c>
      <c r="J16" s="45" t="s">
        <v>160</v>
      </c>
      <c r="K16" s="45" t="s">
        <v>161</v>
      </c>
      <c r="L16" s="45" t="s">
        <v>186</v>
      </c>
      <c r="M16" s="45" t="s">
        <v>187</v>
      </c>
      <c r="N16" s="45" t="s">
        <v>164</v>
      </c>
      <c r="O16" s="39" t="str">
        <f t="shared" si="3"/>
        <v>2025_BG_Mx_5C_FineRoots</v>
      </c>
      <c r="R16" s="45" t="s">
        <v>160</v>
      </c>
      <c r="S16" s="45" t="s">
        <v>161</v>
      </c>
      <c r="T16" s="45" t="s">
        <v>195</v>
      </c>
      <c r="U16" s="45" t="s">
        <v>187</v>
      </c>
      <c r="V16" s="45" t="s">
        <v>164</v>
      </c>
      <c r="W16" s="39" t="str">
        <f t="shared" si="4"/>
        <v>2025_BG_Sc_5C_FineRoots</v>
      </c>
      <c r="Y16" s="45" t="s">
        <v>160</v>
      </c>
      <c r="Z16" s="45" t="s">
        <v>161</v>
      </c>
      <c r="AA16" s="45" t="s">
        <v>208</v>
      </c>
      <c r="AB16" s="45" t="s">
        <v>231</v>
      </c>
      <c r="AC16" s="45" t="s">
        <v>164</v>
      </c>
      <c r="AD16" s="39" t="str">
        <f t="shared" si="5"/>
        <v>2025_BG_2M_Ch5_FineRoots</v>
      </c>
      <c r="AF16" s="61" t="s">
        <v>160</v>
      </c>
      <c r="AG16" s="61" t="s">
        <v>161</v>
      </c>
      <c r="AH16" s="61" t="s">
        <v>210</v>
      </c>
      <c r="AI16" s="61" t="s">
        <v>216</v>
      </c>
      <c r="AJ16" s="61" t="s">
        <v>215</v>
      </c>
      <c r="AK16" s="61" t="s">
        <v>164</v>
      </c>
      <c r="AL16" s="61" t="str">
        <f t="shared" si="0"/>
        <v>2025_BG_Phrag_P2_4-6_FineRoots</v>
      </c>
      <c r="AM16" s="51"/>
      <c r="AN16" s="52" t="s">
        <v>160</v>
      </c>
      <c r="AO16" s="52" t="s">
        <v>161</v>
      </c>
      <c r="AP16" s="52" t="s">
        <v>320</v>
      </c>
      <c r="AQ16" s="52" t="s">
        <v>324</v>
      </c>
      <c r="AR16" s="52" t="s">
        <v>215</v>
      </c>
      <c r="AS16" s="52" t="s">
        <v>164</v>
      </c>
      <c r="AT16" s="52" t="str">
        <f t="shared" si="7"/>
        <v>2025_BG_SMARTX_443_4-6_FineRoots</v>
      </c>
      <c r="AV16" s="52" t="s">
        <v>160</v>
      </c>
      <c r="AW16" s="52" t="s">
        <v>161</v>
      </c>
      <c r="AX16" s="52" t="s">
        <v>320</v>
      </c>
      <c r="AY16" s="52" t="s">
        <v>338</v>
      </c>
      <c r="AZ16" s="52" t="s">
        <v>215</v>
      </c>
      <c r="BA16" s="52" t="s">
        <v>164</v>
      </c>
      <c r="BB16" s="52" t="str">
        <f t="shared" si="1"/>
        <v>2025_BG_SMARTX_313_4-6_FineRoots</v>
      </c>
    </row>
    <row r="17" spans="2:54" x14ac:dyDescent="0.2">
      <c r="B17" s="45" t="s">
        <v>160</v>
      </c>
      <c r="C17" s="45" t="s">
        <v>161</v>
      </c>
      <c r="D17" s="45" t="s">
        <v>162</v>
      </c>
      <c r="E17" s="45" t="s">
        <v>170</v>
      </c>
      <c r="F17" s="45" t="s">
        <v>165</v>
      </c>
      <c r="G17" s="39" t="str">
        <f t="shared" si="2"/>
        <v>2025_BG_Sp_5A_C3Rhiz</v>
      </c>
      <c r="J17" s="45" t="s">
        <v>160</v>
      </c>
      <c r="K17" s="45" t="s">
        <v>161</v>
      </c>
      <c r="L17" s="45" t="s">
        <v>186</v>
      </c>
      <c r="M17" s="45" t="s">
        <v>187</v>
      </c>
      <c r="N17" s="45" t="s">
        <v>165</v>
      </c>
      <c r="O17" s="39" t="str">
        <f t="shared" si="3"/>
        <v>2025_BG_Mx_5C_C3Rhiz</v>
      </c>
      <c r="R17" s="45" t="s">
        <v>160</v>
      </c>
      <c r="S17" s="45" t="s">
        <v>161</v>
      </c>
      <c r="T17" s="45" t="s">
        <v>195</v>
      </c>
      <c r="U17" s="45" t="s">
        <v>187</v>
      </c>
      <c r="V17" s="45" t="s">
        <v>165</v>
      </c>
      <c r="W17" s="39" t="str">
        <f t="shared" si="4"/>
        <v>2025_BG_Sc_5C_C3Rhiz</v>
      </c>
      <c r="Y17" s="45" t="s">
        <v>160</v>
      </c>
      <c r="Z17" s="45" t="s">
        <v>161</v>
      </c>
      <c r="AA17" s="45" t="s">
        <v>208</v>
      </c>
      <c r="AB17" s="45" t="s">
        <v>231</v>
      </c>
      <c r="AC17" s="45" t="s">
        <v>165</v>
      </c>
      <c r="AD17" s="39" t="str">
        <f t="shared" si="5"/>
        <v>2025_BG_2M_Ch5_C3Rhiz</v>
      </c>
      <c r="AF17" s="61" t="s">
        <v>160</v>
      </c>
      <c r="AG17" s="61" t="s">
        <v>161</v>
      </c>
      <c r="AH17" s="61" t="s">
        <v>210</v>
      </c>
      <c r="AI17" s="61" t="s">
        <v>216</v>
      </c>
      <c r="AJ17" s="61" t="s">
        <v>215</v>
      </c>
      <c r="AK17" s="62" t="s">
        <v>165</v>
      </c>
      <c r="AL17" s="62" t="str">
        <f t="shared" si="0"/>
        <v>2025_BG_Phrag_P2_4-6_C3Rhiz</v>
      </c>
      <c r="AM17" s="51"/>
      <c r="AN17" s="52" t="s">
        <v>160</v>
      </c>
      <c r="AO17" s="52" t="s">
        <v>161</v>
      </c>
      <c r="AP17" s="52" t="s">
        <v>320</v>
      </c>
      <c r="AQ17" s="52" t="s">
        <v>324</v>
      </c>
      <c r="AR17" s="52" t="s">
        <v>215</v>
      </c>
      <c r="AS17" s="53" t="s">
        <v>165</v>
      </c>
      <c r="AT17" s="53" t="str">
        <f t="shared" si="7"/>
        <v>2025_BG_SMARTX_443_4-6_C3Rhiz</v>
      </c>
      <c r="AV17" s="52" t="s">
        <v>160</v>
      </c>
      <c r="AW17" s="52" t="s">
        <v>161</v>
      </c>
      <c r="AX17" s="52" t="s">
        <v>320</v>
      </c>
      <c r="AY17" s="52" t="s">
        <v>338</v>
      </c>
      <c r="AZ17" s="52" t="s">
        <v>215</v>
      </c>
      <c r="BA17" s="53" t="s">
        <v>165</v>
      </c>
      <c r="BB17" s="53" t="str">
        <f t="shared" si="1"/>
        <v>2025_BG_SMARTX_313_4-6_C3Rhiz</v>
      </c>
    </row>
    <row r="18" spans="2:54" x14ac:dyDescent="0.2">
      <c r="B18" s="45" t="s">
        <v>160</v>
      </c>
      <c r="C18" s="45" t="s">
        <v>161</v>
      </c>
      <c r="D18" s="45" t="s">
        <v>162</v>
      </c>
      <c r="E18" s="45" t="s">
        <v>170</v>
      </c>
      <c r="F18" s="46" t="s">
        <v>166</v>
      </c>
      <c r="G18" s="39" t="str">
        <f t="shared" ref="G18:G48" si="9">_xlfn.CONCAT(B18:F18)</f>
        <v>2025_BG_Sp_5A_C4Rhiz</v>
      </c>
      <c r="J18" s="45" t="s">
        <v>160</v>
      </c>
      <c r="K18" s="45" t="s">
        <v>161</v>
      </c>
      <c r="L18" s="45" t="s">
        <v>186</v>
      </c>
      <c r="M18" s="45" t="s">
        <v>187</v>
      </c>
      <c r="N18" s="46" t="s">
        <v>166</v>
      </c>
      <c r="O18" s="39" t="str">
        <f t="shared" si="3"/>
        <v>2025_BG_Mx_5C_C4Rhiz</v>
      </c>
      <c r="R18" s="45" t="s">
        <v>160</v>
      </c>
      <c r="S18" s="45" t="s">
        <v>161</v>
      </c>
      <c r="T18" s="45" t="s">
        <v>195</v>
      </c>
      <c r="U18" s="45" t="s">
        <v>187</v>
      </c>
      <c r="V18" s="46" t="s">
        <v>166</v>
      </c>
      <c r="W18" s="39" t="str">
        <f t="shared" si="4"/>
        <v>2025_BG_Sc_5C_C4Rhiz</v>
      </c>
      <c r="Y18" s="45" t="s">
        <v>160</v>
      </c>
      <c r="Z18" s="45" t="s">
        <v>161</v>
      </c>
      <c r="AA18" s="45" t="s">
        <v>208</v>
      </c>
      <c r="AB18" s="45" t="s">
        <v>231</v>
      </c>
      <c r="AC18" s="45" t="s">
        <v>166</v>
      </c>
      <c r="AD18" s="39" t="str">
        <f t="shared" si="5"/>
        <v>2025_BG_2M_Ch5_C4Rhiz</v>
      </c>
      <c r="AF18" s="61" t="s">
        <v>160</v>
      </c>
      <c r="AG18" s="61" t="s">
        <v>161</v>
      </c>
      <c r="AH18" s="61" t="s">
        <v>210</v>
      </c>
      <c r="AI18" s="61" t="s">
        <v>216</v>
      </c>
      <c r="AJ18" s="61" t="s">
        <v>215</v>
      </c>
      <c r="AK18" s="61" t="s">
        <v>166</v>
      </c>
      <c r="AL18" s="61" t="str">
        <f t="shared" si="0"/>
        <v>2025_BG_Phrag_P2_4-6_C4Rhiz</v>
      </c>
      <c r="AM18" s="51"/>
      <c r="AN18" s="52" t="s">
        <v>160</v>
      </c>
      <c r="AO18" s="52" t="s">
        <v>161</v>
      </c>
      <c r="AP18" s="52" t="s">
        <v>320</v>
      </c>
      <c r="AQ18" s="52" t="s">
        <v>324</v>
      </c>
      <c r="AR18" s="52" t="s">
        <v>215</v>
      </c>
      <c r="AS18" s="52" t="s">
        <v>166</v>
      </c>
      <c r="AT18" s="52" t="str">
        <f t="shared" si="7"/>
        <v>2025_BG_SMARTX_443_4-6_C4Rhiz</v>
      </c>
      <c r="AV18" s="52" t="s">
        <v>160</v>
      </c>
      <c r="AW18" s="52" t="s">
        <v>161</v>
      </c>
      <c r="AX18" s="52" t="s">
        <v>320</v>
      </c>
      <c r="AY18" s="52" t="s">
        <v>338</v>
      </c>
      <c r="AZ18" s="52" t="s">
        <v>215</v>
      </c>
      <c r="BA18" s="52" t="s">
        <v>166</v>
      </c>
      <c r="BB18" s="52" t="str">
        <f t="shared" si="1"/>
        <v>2025_BG_SMARTX_313_4-6_C4Rhiz</v>
      </c>
    </row>
    <row r="19" spans="2:54" x14ac:dyDescent="0.2">
      <c r="B19" s="39" t="s">
        <v>160</v>
      </c>
      <c r="C19" s="39" t="s">
        <v>161</v>
      </c>
      <c r="D19" s="39" t="s">
        <v>162</v>
      </c>
      <c r="E19" s="39" t="s">
        <v>176</v>
      </c>
      <c r="F19" s="39" t="s">
        <v>164</v>
      </c>
      <c r="G19" s="39" t="str">
        <f t="shared" si="9"/>
        <v>2025_BG_Sp_6C_FineRoots</v>
      </c>
      <c r="J19" s="39" t="s">
        <v>160</v>
      </c>
      <c r="K19" s="39" t="s">
        <v>161</v>
      </c>
      <c r="L19" s="39" t="s">
        <v>186</v>
      </c>
      <c r="M19" s="39" t="s">
        <v>188</v>
      </c>
      <c r="N19" s="39" t="s">
        <v>164</v>
      </c>
      <c r="O19" s="39" t="str">
        <f t="shared" si="3"/>
        <v>2025_BG_Mx_6A_FineRoots</v>
      </c>
      <c r="R19" s="39" t="s">
        <v>160</v>
      </c>
      <c r="S19" s="39" t="s">
        <v>161</v>
      </c>
      <c r="T19" s="39" t="s">
        <v>195</v>
      </c>
      <c r="U19" s="39" t="s">
        <v>197</v>
      </c>
      <c r="V19" s="39" t="s">
        <v>164</v>
      </c>
      <c r="W19" s="39" t="str">
        <f t="shared" si="4"/>
        <v>2025_BG_Sc_6E_FineRoots</v>
      </c>
      <c r="Y19" s="52" t="s">
        <v>160</v>
      </c>
      <c r="Z19" s="52" t="s">
        <v>161</v>
      </c>
      <c r="AA19" s="52" t="s">
        <v>208</v>
      </c>
      <c r="AB19" s="52" t="s">
        <v>232</v>
      </c>
      <c r="AC19" s="52" t="s">
        <v>164</v>
      </c>
      <c r="AD19" s="39" t="str">
        <f t="shared" si="5"/>
        <v>2025_BG_2M_Ch6_FineRoots</v>
      </c>
      <c r="AF19" s="61" t="s">
        <v>160</v>
      </c>
      <c r="AG19" s="61" t="s">
        <v>161</v>
      </c>
      <c r="AH19" s="61" t="s">
        <v>210</v>
      </c>
      <c r="AI19" s="61" t="s">
        <v>216</v>
      </c>
      <c r="AJ19" s="61" t="s">
        <v>215</v>
      </c>
      <c r="AK19" s="61" t="s">
        <v>209</v>
      </c>
      <c r="AL19" s="61" t="str">
        <f t="shared" si="0"/>
        <v>2025_BG_Phrag_P2_4-6_PhragRhiz</v>
      </c>
      <c r="AM19" s="51"/>
      <c r="AN19" s="52" t="s">
        <v>160</v>
      </c>
      <c r="AO19" s="52" t="s">
        <v>161</v>
      </c>
      <c r="AP19" s="52" t="s">
        <v>320</v>
      </c>
      <c r="AQ19" s="52" t="s">
        <v>324</v>
      </c>
      <c r="AR19" s="52" t="s">
        <v>215</v>
      </c>
      <c r="AS19" s="52" t="s">
        <v>333</v>
      </c>
      <c r="AT19" s="52" t="str">
        <f t="shared" si="7"/>
        <v>2025_BG_SMARTX_443_4-6_OtherRhiz</v>
      </c>
      <c r="AV19" s="52" t="s">
        <v>160</v>
      </c>
      <c r="AW19" s="52" t="s">
        <v>161</v>
      </c>
      <c r="AX19" s="52" t="s">
        <v>320</v>
      </c>
      <c r="AY19" s="52" t="s">
        <v>338</v>
      </c>
      <c r="AZ19" s="52" t="s">
        <v>215</v>
      </c>
      <c r="BA19" s="52" t="s">
        <v>333</v>
      </c>
      <c r="BB19" s="52" t="str">
        <f t="shared" si="1"/>
        <v>2025_BG_SMARTX_313_4-6_OtherRhiz</v>
      </c>
    </row>
    <row r="20" spans="2:54" x14ac:dyDescent="0.2">
      <c r="B20" s="39" t="s">
        <v>160</v>
      </c>
      <c r="C20" s="39" t="s">
        <v>161</v>
      </c>
      <c r="D20" s="39" t="s">
        <v>162</v>
      </c>
      <c r="E20" s="39" t="s">
        <v>176</v>
      </c>
      <c r="F20" s="44" t="s">
        <v>165</v>
      </c>
      <c r="G20" s="39" t="str">
        <f t="shared" si="9"/>
        <v>2025_BG_Sp_6C_C3Rhiz</v>
      </c>
      <c r="J20" s="39" t="s">
        <v>160</v>
      </c>
      <c r="K20" s="39" t="s">
        <v>161</v>
      </c>
      <c r="L20" s="39" t="s">
        <v>186</v>
      </c>
      <c r="M20" s="39" t="s">
        <v>188</v>
      </c>
      <c r="N20" s="44" t="s">
        <v>165</v>
      </c>
      <c r="O20" s="39" t="str">
        <f t="shared" si="3"/>
        <v>2025_BG_Mx_6A_C3Rhiz</v>
      </c>
      <c r="R20" s="39" t="s">
        <v>160</v>
      </c>
      <c r="S20" s="39" t="s">
        <v>161</v>
      </c>
      <c r="T20" s="39" t="s">
        <v>195</v>
      </c>
      <c r="U20" s="39" t="s">
        <v>197</v>
      </c>
      <c r="V20" s="44" t="s">
        <v>165</v>
      </c>
      <c r="W20" s="39" t="str">
        <f t="shared" si="4"/>
        <v>2025_BG_Sc_6E_C3Rhiz</v>
      </c>
      <c r="Y20" s="52" t="s">
        <v>160</v>
      </c>
      <c r="Z20" s="52" t="s">
        <v>161</v>
      </c>
      <c r="AA20" s="52" t="s">
        <v>208</v>
      </c>
      <c r="AB20" s="52" t="s">
        <v>232</v>
      </c>
      <c r="AC20" s="53" t="s">
        <v>165</v>
      </c>
      <c r="AD20" s="39" t="str">
        <f t="shared" si="5"/>
        <v>2025_BG_2M_Ch6_C3Rhiz</v>
      </c>
      <c r="AF20" s="45" t="s">
        <v>160</v>
      </c>
      <c r="AG20" s="45" t="s">
        <v>161</v>
      </c>
      <c r="AH20" s="45" t="s">
        <v>210</v>
      </c>
      <c r="AI20" s="45" t="s">
        <v>217</v>
      </c>
      <c r="AJ20" s="45" t="s">
        <v>214</v>
      </c>
      <c r="AK20" s="45" t="s">
        <v>164</v>
      </c>
      <c r="AL20" s="45" t="str">
        <f t="shared" si="0"/>
        <v>2025_BG_Phrag_P3_1-3_FineRoots</v>
      </c>
      <c r="AM20" s="51"/>
      <c r="AN20" s="45" t="s">
        <v>160</v>
      </c>
      <c r="AO20" s="45" t="s">
        <v>161</v>
      </c>
      <c r="AP20" s="45" t="s">
        <v>320</v>
      </c>
      <c r="AQ20" s="45" t="s">
        <v>325</v>
      </c>
      <c r="AR20" s="45" t="s">
        <v>215</v>
      </c>
      <c r="AS20" s="45" t="s">
        <v>164</v>
      </c>
      <c r="AT20" s="45" t="str">
        <f t="shared" si="7"/>
        <v>2025_BG_SMARTX_450_4-6_FineRoots</v>
      </c>
      <c r="AV20" s="45" t="s">
        <v>160</v>
      </c>
      <c r="AW20" s="45" t="s">
        <v>161</v>
      </c>
      <c r="AX20" s="45" t="s">
        <v>320</v>
      </c>
      <c r="AY20" s="45" t="s">
        <v>339</v>
      </c>
      <c r="AZ20" s="45" t="s">
        <v>215</v>
      </c>
      <c r="BA20" s="45" t="s">
        <v>164</v>
      </c>
      <c r="BB20" s="45" t="str">
        <f t="shared" si="1"/>
        <v>2025_BG_SMARTX_320_4-6_FineRoots</v>
      </c>
    </row>
    <row r="21" spans="2:54" x14ac:dyDescent="0.2">
      <c r="B21" s="39" t="s">
        <v>160</v>
      </c>
      <c r="C21" s="39" t="s">
        <v>161</v>
      </c>
      <c r="D21" s="39" t="s">
        <v>162</v>
      </c>
      <c r="E21" s="39" t="s">
        <v>176</v>
      </c>
      <c r="F21" s="39" t="s">
        <v>166</v>
      </c>
      <c r="G21" s="39" t="str">
        <f t="shared" si="9"/>
        <v>2025_BG_Sp_6C_C4Rhiz</v>
      </c>
      <c r="J21" s="39" t="s">
        <v>160</v>
      </c>
      <c r="K21" s="39" t="s">
        <v>161</v>
      </c>
      <c r="L21" s="39" t="s">
        <v>186</v>
      </c>
      <c r="M21" s="39" t="s">
        <v>188</v>
      </c>
      <c r="N21" s="39" t="s">
        <v>166</v>
      </c>
      <c r="O21" s="39" t="str">
        <f t="shared" si="3"/>
        <v>2025_BG_Mx_6A_C4Rhiz</v>
      </c>
      <c r="R21" s="39" t="s">
        <v>160</v>
      </c>
      <c r="S21" s="39" t="s">
        <v>161</v>
      </c>
      <c r="T21" s="39" t="s">
        <v>195</v>
      </c>
      <c r="U21" s="39" t="s">
        <v>197</v>
      </c>
      <c r="V21" s="39" t="s">
        <v>166</v>
      </c>
      <c r="W21" s="39" t="str">
        <f t="shared" si="4"/>
        <v>2025_BG_Sc_6E_C4Rhiz</v>
      </c>
      <c r="Y21" s="52" t="s">
        <v>160</v>
      </c>
      <c r="Z21" s="52" t="s">
        <v>161</v>
      </c>
      <c r="AA21" s="52" t="s">
        <v>208</v>
      </c>
      <c r="AB21" s="52" t="s">
        <v>232</v>
      </c>
      <c r="AC21" s="52" t="s">
        <v>166</v>
      </c>
      <c r="AD21" s="39" t="str">
        <f t="shared" si="5"/>
        <v>2025_BG_2M_Ch6_C4Rhiz</v>
      </c>
      <c r="AF21" s="45" t="s">
        <v>160</v>
      </c>
      <c r="AG21" s="45" t="s">
        <v>161</v>
      </c>
      <c r="AH21" s="45" t="s">
        <v>210</v>
      </c>
      <c r="AI21" s="45" t="s">
        <v>217</v>
      </c>
      <c r="AJ21" s="45" t="s">
        <v>214</v>
      </c>
      <c r="AK21" s="46" t="s">
        <v>165</v>
      </c>
      <c r="AL21" s="46" t="str">
        <f t="shared" si="0"/>
        <v>2025_BG_Phrag_P3_1-3_C3Rhiz</v>
      </c>
      <c r="AM21" s="51"/>
      <c r="AN21" s="45" t="s">
        <v>160</v>
      </c>
      <c r="AO21" s="45" t="s">
        <v>161</v>
      </c>
      <c r="AP21" s="45" t="s">
        <v>320</v>
      </c>
      <c r="AQ21" s="45" t="s">
        <v>325</v>
      </c>
      <c r="AR21" s="45" t="s">
        <v>215</v>
      </c>
      <c r="AS21" s="46" t="s">
        <v>165</v>
      </c>
      <c r="AT21" s="46" t="str">
        <f t="shared" si="7"/>
        <v>2025_BG_SMARTX_450_4-6_C3Rhiz</v>
      </c>
      <c r="AV21" s="45" t="s">
        <v>160</v>
      </c>
      <c r="AW21" s="45" t="s">
        <v>161</v>
      </c>
      <c r="AX21" s="45" t="s">
        <v>320</v>
      </c>
      <c r="AY21" s="45" t="s">
        <v>339</v>
      </c>
      <c r="AZ21" s="45" t="s">
        <v>215</v>
      </c>
      <c r="BA21" s="46" t="s">
        <v>165</v>
      </c>
      <c r="BB21" s="46" t="str">
        <f t="shared" si="1"/>
        <v>2025_BG_SMARTX_320_4-6_C3Rhiz</v>
      </c>
    </row>
    <row r="22" spans="2:54" x14ac:dyDescent="0.2">
      <c r="B22" s="45" t="s">
        <v>160</v>
      </c>
      <c r="C22" s="45" t="s">
        <v>161</v>
      </c>
      <c r="D22" s="45" t="s">
        <v>162</v>
      </c>
      <c r="E22" s="45" t="s">
        <v>177</v>
      </c>
      <c r="F22" s="45" t="s">
        <v>164</v>
      </c>
      <c r="G22" s="39" t="str">
        <f t="shared" si="9"/>
        <v>2025_BG_Sp_7C_FineRoots</v>
      </c>
      <c r="J22" s="45" t="s">
        <v>160</v>
      </c>
      <c r="K22" s="45" t="s">
        <v>161</v>
      </c>
      <c r="L22" s="45" t="s">
        <v>186</v>
      </c>
      <c r="M22" s="45" t="s">
        <v>177</v>
      </c>
      <c r="N22" s="45" t="s">
        <v>164</v>
      </c>
      <c r="O22" s="39" t="str">
        <f t="shared" si="3"/>
        <v>2025_BG_Mx_7C_FineRoots</v>
      </c>
      <c r="R22" s="45" t="s">
        <v>160</v>
      </c>
      <c r="S22" s="45" t="s">
        <v>161</v>
      </c>
      <c r="T22" s="45" t="s">
        <v>195</v>
      </c>
      <c r="U22" s="45" t="s">
        <v>177</v>
      </c>
      <c r="V22" s="45" t="s">
        <v>164</v>
      </c>
      <c r="W22" s="39" t="str">
        <f t="shared" si="4"/>
        <v>2025_BG_Sc_7C_FineRoots</v>
      </c>
      <c r="Y22" s="45" t="s">
        <v>160</v>
      </c>
      <c r="Z22" s="45" t="s">
        <v>161</v>
      </c>
      <c r="AA22" s="45" t="s">
        <v>208</v>
      </c>
      <c r="AB22" s="45" t="s">
        <v>233</v>
      </c>
      <c r="AC22" s="45" t="s">
        <v>164</v>
      </c>
      <c r="AD22" s="39" t="str">
        <f t="shared" si="5"/>
        <v>2025_BG_2M_Ch7_FineRoots</v>
      </c>
      <c r="AF22" s="45" t="s">
        <v>160</v>
      </c>
      <c r="AG22" s="45" t="s">
        <v>161</v>
      </c>
      <c r="AH22" s="45" t="s">
        <v>210</v>
      </c>
      <c r="AI22" s="45" t="s">
        <v>217</v>
      </c>
      <c r="AJ22" s="45" t="s">
        <v>214</v>
      </c>
      <c r="AK22" s="45" t="s">
        <v>166</v>
      </c>
      <c r="AL22" s="45" t="str">
        <f t="shared" si="0"/>
        <v>2025_BG_Phrag_P3_1-3_C4Rhiz</v>
      </c>
      <c r="AM22" s="51"/>
      <c r="AN22" s="45" t="s">
        <v>160</v>
      </c>
      <c r="AO22" s="45" t="s">
        <v>161</v>
      </c>
      <c r="AP22" s="45" t="s">
        <v>320</v>
      </c>
      <c r="AQ22" s="45" t="s">
        <v>325</v>
      </c>
      <c r="AR22" s="45" t="s">
        <v>215</v>
      </c>
      <c r="AS22" s="45" t="s">
        <v>166</v>
      </c>
      <c r="AT22" s="45" t="str">
        <f t="shared" si="7"/>
        <v>2025_BG_SMARTX_450_4-6_C4Rhiz</v>
      </c>
      <c r="AV22" s="45" t="s">
        <v>160</v>
      </c>
      <c r="AW22" s="45" t="s">
        <v>161</v>
      </c>
      <c r="AX22" s="45" t="s">
        <v>320</v>
      </c>
      <c r="AY22" s="45" t="s">
        <v>339</v>
      </c>
      <c r="AZ22" s="45" t="s">
        <v>215</v>
      </c>
      <c r="BA22" s="45" t="s">
        <v>166</v>
      </c>
      <c r="BB22" s="45" t="str">
        <f t="shared" si="1"/>
        <v>2025_BG_SMARTX_320_4-6_C4Rhiz</v>
      </c>
    </row>
    <row r="23" spans="2:54" x14ac:dyDescent="0.2">
      <c r="B23" s="45" t="s">
        <v>160</v>
      </c>
      <c r="C23" s="45" t="s">
        <v>161</v>
      </c>
      <c r="D23" s="45" t="s">
        <v>162</v>
      </c>
      <c r="E23" s="45" t="s">
        <v>177</v>
      </c>
      <c r="F23" s="45" t="s">
        <v>165</v>
      </c>
      <c r="G23" s="39" t="str">
        <f t="shared" si="9"/>
        <v>2025_BG_Sp_7C_C3Rhiz</v>
      </c>
      <c r="J23" s="45" t="s">
        <v>160</v>
      </c>
      <c r="K23" s="45" t="s">
        <v>161</v>
      </c>
      <c r="L23" s="45" t="s">
        <v>186</v>
      </c>
      <c r="M23" s="45" t="s">
        <v>177</v>
      </c>
      <c r="N23" s="45" t="s">
        <v>165</v>
      </c>
      <c r="O23" s="39" t="str">
        <f t="shared" si="3"/>
        <v>2025_BG_Mx_7C_C3Rhiz</v>
      </c>
      <c r="R23" s="45" t="s">
        <v>160</v>
      </c>
      <c r="S23" s="45" t="s">
        <v>161</v>
      </c>
      <c r="T23" s="45" t="s">
        <v>195</v>
      </c>
      <c r="U23" s="45" t="s">
        <v>177</v>
      </c>
      <c r="V23" s="45" t="s">
        <v>165</v>
      </c>
      <c r="W23" s="39" t="str">
        <f t="shared" si="4"/>
        <v>2025_BG_Sc_7C_C3Rhiz</v>
      </c>
      <c r="Y23" s="45" t="s">
        <v>160</v>
      </c>
      <c r="Z23" s="45" t="s">
        <v>161</v>
      </c>
      <c r="AA23" s="45" t="s">
        <v>208</v>
      </c>
      <c r="AB23" s="45" t="s">
        <v>233</v>
      </c>
      <c r="AC23" s="45" t="s">
        <v>165</v>
      </c>
      <c r="AD23" s="39" t="str">
        <f t="shared" si="5"/>
        <v>2025_BG_2M_Ch7_C3Rhiz</v>
      </c>
      <c r="AF23" s="45" t="s">
        <v>160</v>
      </c>
      <c r="AG23" s="45" t="s">
        <v>161</v>
      </c>
      <c r="AH23" s="45" t="s">
        <v>210</v>
      </c>
      <c r="AI23" s="45" t="s">
        <v>217</v>
      </c>
      <c r="AJ23" s="45" t="s">
        <v>214</v>
      </c>
      <c r="AK23" s="45" t="s">
        <v>209</v>
      </c>
      <c r="AL23" s="45" t="str">
        <f t="shared" si="0"/>
        <v>2025_BG_Phrag_P3_1-3_PhragRhiz</v>
      </c>
      <c r="AM23" s="51"/>
      <c r="AN23" s="45" t="s">
        <v>160</v>
      </c>
      <c r="AO23" s="45" t="s">
        <v>161</v>
      </c>
      <c r="AP23" s="45" t="s">
        <v>320</v>
      </c>
      <c r="AQ23" s="45" t="s">
        <v>325</v>
      </c>
      <c r="AR23" s="45" t="s">
        <v>215</v>
      </c>
      <c r="AS23" s="45" t="s">
        <v>333</v>
      </c>
      <c r="AT23" s="45" t="str">
        <f t="shared" si="7"/>
        <v>2025_BG_SMARTX_450_4-6_OtherRhiz</v>
      </c>
      <c r="AV23" s="45" t="s">
        <v>160</v>
      </c>
      <c r="AW23" s="45" t="s">
        <v>161</v>
      </c>
      <c r="AX23" s="45" t="s">
        <v>320</v>
      </c>
      <c r="AY23" s="45" t="s">
        <v>339</v>
      </c>
      <c r="AZ23" s="45" t="s">
        <v>215</v>
      </c>
      <c r="BA23" s="45" t="s">
        <v>333</v>
      </c>
      <c r="BB23" s="45" t="str">
        <f t="shared" si="1"/>
        <v>2025_BG_SMARTX_320_4-6_OtherRhiz</v>
      </c>
    </row>
    <row r="24" spans="2:54" x14ac:dyDescent="0.2">
      <c r="B24" s="45" t="s">
        <v>160</v>
      </c>
      <c r="C24" s="45" t="s">
        <v>161</v>
      </c>
      <c r="D24" s="45" t="s">
        <v>162</v>
      </c>
      <c r="E24" s="45" t="s">
        <v>177</v>
      </c>
      <c r="F24" s="46" t="s">
        <v>166</v>
      </c>
      <c r="G24" s="39" t="str">
        <f t="shared" si="9"/>
        <v>2025_BG_Sp_7C_C4Rhiz</v>
      </c>
      <c r="J24" s="45" t="s">
        <v>160</v>
      </c>
      <c r="K24" s="45" t="s">
        <v>161</v>
      </c>
      <c r="L24" s="45" t="s">
        <v>186</v>
      </c>
      <c r="M24" s="45" t="s">
        <v>177</v>
      </c>
      <c r="N24" s="46" t="s">
        <v>166</v>
      </c>
      <c r="O24" s="39" t="str">
        <f t="shared" si="3"/>
        <v>2025_BG_Mx_7C_C4Rhiz</v>
      </c>
      <c r="R24" s="45" t="s">
        <v>160</v>
      </c>
      <c r="S24" s="45" t="s">
        <v>161</v>
      </c>
      <c r="T24" s="45" t="s">
        <v>195</v>
      </c>
      <c r="U24" s="45" t="s">
        <v>177</v>
      </c>
      <c r="V24" s="46" t="s">
        <v>166</v>
      </c>
      <c r="W24" s="39" t="str">
        <f t="shared" si="4"/>
        <v>2025_BG_Sc_7C_C4Rhiz</v>
      </c>
      <c r="Y24" s="45" t="s">
        <v>160</v>
      </c>
      <c r="Z24" s="45" t="s">
        <v>161</v>
      </c>
      <c r="AA24" s="45" t="s">
        <v>208</v>
      </c>
      <c r="AB24" s="45" t="s">
        <v>233</v>
      </c>
      <c r="AC24" s="45" t="s">
        <v>166</v>
      </c>
      <c r="AD24" s="39" t="str">
        <f t="shared" si="5"/>
        <v>2025_BG_2M_Ch7_C4Rhiz</v>
      </c>
      <c r="AF24" s="57" t="s">
        <v>160</v>
      </c>
      <c r="AG24" s="57" t="s">
        <v>161</v>
      </c>
      <c r="AH24" s="57" t="s">
        <v>210</v>
      </c>
      <c r="AI24" s="57" t="s">
        <v>217</v>
      </c>
      <c r="AJ24" s="57" t="s">
        <v>215</v>
      </c>
      <c r="AK24" s="57" t="s">
        <v>164</v>
      </c>
      <c r="AL24" s="57" t="str">
        <f t="shared" si="0"/>
        <v>2025_BG_Phrag_P3_4-6_FineRoots</v>
      </c>
      <c r="AM24" s="51"/>
      <c r="AN24" s="52" t="s">
        <v>160</v>
      </c>
      <c r="AO24" s="52" t="s">
        <v>161</v>
      </c>
      <c r="AP24" s="52" t="s">
        <v>320</v>
      </c>
      <c r="AQ24" s="52" t="s">
        <v>326</v>
      </c>
      <c r="AR24" s="52" t="s">
        <v>215</v>
      </c>
      <c r="AS24" s="52" t="s">
        <v>164</v>
      </c>
      <c r="AT24" s="52" t="str">
        <f t="shared" si="7"/>
        <v>2025_BG_SMARTX_451_4-6_FineRoots</v>
      </c>
      <c r="AV24" s="52" t="s">
        <v>160</v>
      </c>
      <c r="AW24" s="52" t="s">
        <v>161</v>
      </c>
      <c r="AX24" s="52" t="s">
        <v>320</v>
      </c>
      <c r="AY24" s="52" t="s">
        <v>340</v>
      </c>
      <c r="AZ24" s="52" t="s">
        <v>215</v>
      </c>
      <c r="BA24" s="52" t="s">
        <v>164</v>
      </c>
      <c r="BB24" s="52" t="str">
        <f t="shared" si="1"/>
        <v>2025_BG_SMARTX_321_4-6_FineRoots</v>
      </c>
    </row>
    <row r="25" spans="2:54" x14ac:dyDescent="0.2">
      <c r="B25" s="39" t="s">
        <v>160</v>
      </c>
      <c r="C25" s="39" t="s">
        <v>161</v>
      </c>
      <c r="D25" s="39" t="s">
        <v>162</v>
      </c>
      <c r="E25" s="39" t="s">
        <v>178</v>
      </c>
      <c r="F25" s="39" t="s">
        <v>164</v>
      </c>
      <c r="G25" s="39" t="str">
        <f t="shared" si="9"/>
        <v>2025_BG_Sp_8E_FineRoots</v>
      </c>
      <c r="J25" s="39" t="s">
        <v>160</v>
      </c>
      <c r="K25" s="39" t="s">
        <v>161</v>
      </c>
      <c r="L25" s="39" t="s">
        <v>186</v>
      </c>
      <c r="M25" s="39" t="s">
        <v>178</v>
      </c>
      <c r="N25" s="39" t="s">
        <v>164</v>
      </c>
      <c r="O25" s="39" t="str">
        <f t="shared" si="3"/>
        <v>2025_BG_Mx_8E_FineRoots</v>
      </c>
      <c r="R25" s="39" t="s">
        <v>160</v>
      </c>
      <c r="S25" s="39" t="s">
        <v>161</v>
      </c>
      <c r="T25" s="39" t="s">
        <v>195</v>
      </c>
      <c r="U25" s="39" t="s">
        <v>198</v>
      </c>
      <c r="V25" s="39" t="s">
        <v>164</v>
      </c>
      <c r="W25" s="39" t="str">
        <f t="shared" si="4"/>
        <v>2025_BG_Sc_8A_FineRoots</v>
      </c>
      <c r="Y25" s="52" t="s">
        <v>160</v>
      </c>
      <c r="Z25" s="52" t="s">
        <v>161</v>
      </c>
      <c r="AA25" s="52" t="s">
        <v>208</v>
      </c>
      <c r="AB25" s="52" t="s">
        <v>234</v>
      </c>
      <c r="AC25" s="52" t="s">
        <v>164</v>
      </c>
      <c r="AD25" s="39" t="str">
        <f t="shared" si="5"/>
        <v>2025_BG_2M_Ch8_FineRoots</v>
      </c>
      <c r="AF25" s="57" t="s">
        <v>160</v>
      </c>
      <c r="AG25" s="57" t="s">
        <v>161</v>
      </c>
      <c r="AH25" s="57" t="s">
        <v>210</v>
      </c>
      <c r="AI25" s="57" t="s">
        <v>217</v>
      </c>
      <c r="AJ25" s="57" t="s">
        <v>215</v>
      </c>
      <c r="AK25" s="58" t="s">
        <v>165</v>
      </c>
      <c r="AL25" s="58" t="str">
        <f t="shared" si="0"/>
        <v>2025_BG_Phrag_P3_4-6_C3Rhiz</v>
      </c>
      <c r="AM25" s="51"/>
      <c r="AN25" s="52" t="s">
        <v>160</v>
      </c>
      <c r="AO25" s="52" t="s">
        <v>161</v>
      </c>
      <c r="AP25" s="52" t="s">
        <v>320</v>
      </c>
      <c r="AQ25" s="52" t="s">
        <v>326</v>
      </c>
      <c r="AR25" s="52" t="s">
        <v>215</v>
      </c>
      <c r="AS25" s="53" t="s">
        <v>165</v>
      </c>
      <c r="AT25" s="53" t="str">
        <f t="shared" si="7"/>
        <v>2025_BG_SMARTX_451_4-6_C3Rhiz</v>
      </c>
      <c r="AV25" s="52" t="s">
        <v>160</v>
      </c>
      <c r="AW25" s="52" t="s">
        <v>161</v>
      </c>
      <c r="AX25" s="52" t="s">
        <v>320</v>
      </c>
      <c r="AY25" s="52" t="s">
        <v>340</v>
      </c>
      <c r="AZ25" s="52" t="s">
        <v>215</v>
      </c>
      <c r="BA25" s="53" t="s">
        <v>165</v>
      </c>
      <c r="BB25" s="53" t="str">
        <f t="shared" si="1"/>
        <v>2025_BG_SMARTX_321_4-6_C3Rhiz</v>
      </c>
    </row>
    <row r="26" spans="2:54" x14ac:dyDescent="0.2">
      <c r="B26" s="39" t="s">
        <v>160</v>
      </c>
      <c r="C26" s="39" t="s">
        <v>161</v>
      </c>
      <c r="D26" s="39" t="s">
        <v>162</v>
      </c>
      <c r="E26" s="39" t="s">
        <v>178</v>
      </c>
      <c r="F26" s="44" t="s">
        <v>165</v>
      </c>
      <c r="G26" s="39" t="str">
        <f>_xlfn.CONCAT(B26:F26)</f>
        <v>2025_BG_Sp_8E_C3Rhiz</v>
      </c>
      <c r="J26" s="39" t="s">
        <v>160</v>
      </c>
      <c r="K26" s="39" t="s">
        <v>161</v>
      </c>
      <c r="L26" s="39" t="s">
        <v>186</v>
      </c>
      <c r="M26" s="39" t="s">
        <v>178</v>
      </c>
      <c r="N26" s="44" t="s">
        <v>165</v>
      </c>
      <c r="O26" s="39" t="str">
        <f t="shared" si="3"/>
        <v>2025_BG_Mx_8E_C3Rhiz</v>
      </c>
      <c r="R26" s="39" t="s">
        <v>160</v>
      </c>
      <c r="S26" s="39" t="s">
        <v>161</v>
      </c>
      <c r="T26" s="39" t="s">
        <v>195</v>
      </c>
      <c r="U26" s="39" t="s">
        <v>198</v>
      </c>
      <c r="V26" s="44" t="s">
        <v>165</v>
      </c>
      <c r="W26" s="39" t="str">
        <f t="shared" si="4"/>
        <v>2025_BG_Sc_8A_C3Rhiz</v>
      </c>
      <c r="Y26" s="52" t="s">
        <v>160</v>
      </c>
      <c r="Z26" s="52" t="s">
        <v>161</v>
      </c>
      <c r="AA26" s="52" t="s">
        <v>208</v>
      </c>
      <c r="AB26" s="52" t="s">
        <v>234</v>
      </c>
      <c r="AC26" s="53" t="s">
        <v>165</v>
      </c>
      <c r="AD26" s="39" t="str">
        <f>_xlfn.CONCAT(Y26:AC26)</f>
        <v>2025_BG_2M_Ch8_C3Rhiz</v>
      </c>
      <c r="AF26" s="57" t="s">
        <v>160</v>
      </c>
      <c r="AG26" s="57" t="s">
        <v>161</v>
      </c>
      <c r="AH26" s="57" t="s">
        <v>210</v>
      </c>
      <c r="AI26" s="57" t="s">
        <v>217</v>
      </c>
      <c r="AJ26" s="57" t="s">
        <v>215</v>
      </c>
      <c r="AK26" s="57" t="s">
        <v>166</v>
      </c>
      <c r="AL26" s="57" t="str">
        <f t="shared" si="0"/>
        <v>2025_BG_Phrag_P3_4-6_C4Rhiz</v>
      </c>
      <c r="AM26" s="51"/>
      <c r="AN26" s="52" t="s">
        <v>160</v>
      </c>
      <c r="AO26" s="52" t="s">
        <v>161</v>
      </c>
      <c r="AP26" s="52" t="s">
        <v>320</v>
      </c>
      <c r="AQ26" s="52" t="s">
        <v>326</v>
      </c>
      <c r="AR26" s="52" t="s">
        <v>215</v>
      </c>
      <c r="AS26" s="52" t="s">
        <v>166</v>
      </c>
      <c r="AT26" s="52" t="str">
        <f t="shared" si="7"/>
        <v>2025_BG_SMARTX_451_4-6_C4Rhiz</v>
      </c>
      <c r="AV26" s="52" t="s">
        <v>160</v>
      </c>
      <c r="AW26" s="52" t="s">
        <v>161</v>
      </c>
      <c r="AX26" s="52" t="s">
        <v>320</v>
      </c>
      <c r="AY26" s="52" t="s">
        <v>340</v>
      </c>
      <c r="AZ26" s="52" t="s">
        <v>215</v>
      </c>
      <c r="BA26" s="52" t="s">
        <v>166</v>
      </c>
      <c r="BB26" s="52" t="str">
        <f t="shared" si="1"/>
        <v>2025_BG_SMARTX_321_4-6_C4Rhiz</v>
      </c>
    </row>
    <row r="27" spans="2:54" x14ac:dyDescent="0.2">
      <c r="B27" s="39" t="s">
        <v>160</v>
      </c>
      <c r="C27" s="39" t="s">
        <v>161</v>
      </c>
      <c r="D27" s="39" t="s">
        <v>162</v>
      </c>
      <c r="E27" s="39" t="s">
        <v>178</v>
      </c>
      <c r="F27" s="39" t="s">
        <v>166</v>
      </c>
      <c r="G27" s="39" t="str">
        <f t="shared" si="9"/>
        <v>2025_BG_Sp_8E_C4Rhiz</v>
      </c>
      <c r="J27" s="39" t="s">
        <v>160</v>
      </c>
      <c r="K27" s="39" t="s">
        <v>161</v>
      </c>
      <c r="L27" s="39" t="s">
        <v>186</v>
      </c>
      <c r="M27" s="39" t="s">
        <v>178</v>
      </c>
      <c r="N27" s="39" t="s">
        <v>166</v>
      </c>
      <c r="O27" s="39" t="str">
        <f t="shared" si="3"/>
        <v>2025_BG_Mx_8E_C4Rhiz</v>
      </c>
      <c r="R27" s="39" t="s">
        <v>160</v>
      </c>
      <c r="S27" s="39" t="s">
        <v>161</v>
      </c>
      <c r="T27" s="39" t="s">
        <v>195</v>
      </c>
      <c r="U27" s="39" t="s">
        <v>198</v>
      </c>
      <c r="V27" s="39" t="s">
        <v>166</v>
      </c>
      <c r="W27" s="39" t="str">
        <f t="shared" si="4"/>
        <v>2025_BG_Sc_8A_C4Rhiz</v>
      </c>
      <c r="Y27" s="52" t="s">
        <v>160</v>
      </c>
      <c r="Z27" s="52" t="s">
        <v>161</v>
      </c>
      <c r="AA27" s="52" t="s">
        <v>208</v>
      </c>
      <c r="AB27" s="52" t="s">
        <v>234</v>
      </c>
      <c r="AC27" s="52" t="s">
        <v>166</v>
      </c>
      <c r="AD27" s="39" t="str">
        <f t="shared" ref="AD27:AD40" si="10">_xlfn.CONCAT(Y27:AC27)</f>
        <v>2025_BG_2M_Ch8_C4Rhiz</v>
      </c>
      <c r="AF27" s="57" t="s">
        <v>160</v>
      </c>
      <c r="AG27" s="57" t="s">
        <v>161</v>
      </c>
      <c r="AH27" s="57" t="s">
        <v>210</v>
      </c>
      <c r="AI27" s="57" t="s">
        <v>217</v>
      </c>
      <c r="AJ27" s="57" t="s">
        <v>215</v>
      </c>
      <c r="AK27" s="57" t="s">
        <v>209</v>
      </c>
      <c r="AL27" s="57" t="str">
        <f t="shared" si="0"/>
        <v>2025_BG_Phrag_P3_4-6_PhragRhiz</v>
      </c>
      <c r="AM27" s="51"/>
      <c r="AN27" s="52" t="s">
        <v>160</v>
      </c>
      <c r="AO27" s="52" t="s">
        <v>161</v>
      </c>
      <c r="AP27" s="52" t="s">
        <v>320</v>
      </c>
      <c r="AQ27" s="52" t="s">
        <v>326</v>
      </c>
      <c r="AR27" s="52" t="s">
        <v>215</v>
      </c>
      <c r="AS27" s="52" t="s">
        <v>333</v>
      </c>
      <c r="AT27" s="52" t="str">
        <f t="shared" ref="AT27:AT39" si="11">_xlfn.CONCAT(AN27:AS27)</f>
        <v>2025_BG_SMARTX_451_4-6_OtherRhiz</v>
      </c>
      <c r="AV27" s="52" t="s">
        <v>160</v>
      </c>
      <c r="AW27" s="52" t="s">
        <v>161</v>
      </c>
      <c r="AX27" s="52" t="s">
        <v>320</v>
      </c>
      <c r="AY27" s="52" t="s">
        <v>340</v>
      </c>
      <c r="AZ27" s="52" t="s">
        <v>215</v>
      </c>
      <c r="BA27" s="52" t="s">
        <v>333</v>
      </c>
      <c r="BB27" s="52" t="str">
        <f t="shared" si="1"/>
        <v>2025_BG_SMARTX_321_4-6_OtherRhiz</v>
      </c>
    </row>
    <row r="28" spans="2:54" x14ac:dyDescent="0.2">
      <c r="B28" s="45" t="s">
        <v>160</v>
      </c>
      <c r="C28" s="45" t="s">
        <v>161</v>
      </c>
      <c r="D28" s="45" t="s">
        <v>162</v>
      </c>
      <c r="E28" s="45" t="s">
        <v>179</v>
      </c>
      <c r="F28" s="45" t="s">
        <v>164</v>
      </c>
      <c r="G28" s="39" t="str">
        <f t="shared" si="9"/>
        <v>2025_BG_Sp_9A_FineRoots</v>
      </c>
      <c r="J28" s="45" t="s">
        <v>160</v>
      </c>
      <c r="K28" s="45" t="s">
        <v>161</v>
      </c>
      <c r="L28" s="45" t="s">
        <v>186</v>
      </c>
      <c r="M28" s="45" t="s">
        <v>179</v>
      </c>
      <c r="N28" s="45" t="s">
        <v>164</v>
      </c>
      <c r="O28" s="39" t="str">
        <f t="shared" si="3"/>
        <v>2025_BG_Mx_9A_FineRoots</v>
      </c>
      <c r="R28" s="45" t="s">
        <v>160</v>
      </c>
      <c r="S28" s="45" t="s">
        <v>161</v>
      </c>
      <c r="T28" s="45" t="s">
        <v>195</v>
      </c>
      <c r="U28" s="45" t="s">
        <v>199</v>
      </c>
      <c r="V28" s="45" t="s">
        <v>164</v>
      </c>
      <c r="W28" s="39" t="str">
        <f t="shared" si="4"/>
        <v>2025_BG_Sc_9E_FineRoots</v>
      </c>
      <c r="Y28" s="45" t="s">
        <v>160</v>
      </c>
      <c r="Z28" s="45" t="s">
        <v>161</v>
      </c>
      <c r="AA28" s="45" t="s">
        <v>208</v>
      </c>
      <c r="AB28" s="45" t="s">
        <v>235</v>
      </c>
      <c r="AC28" s="45" t="s">
        <v>164</v>
      </c>
      <c r="AD28" s="39" t="str">
        <f t="shared" si="10"/>
        <v>2025_BG_2M_Ch9_FineRoots</v>
      </c>
      <c r="AF28" s="59" t="s">
        <v>160</v>
      </c>
      <c r="AG28" s="59" t="s">
        <v>161</v>
      </c>
      <c r="AH28" s="59" t="s">
        <v>210</v>
      </c>
      <c r="AI28" s="59" t="s">
        <v>218</v>
      </c>
      <c r="AJ28" s="59" t="s">
        <v>214</v>
      </c>
      <c r="AK28" s="59" t="s">
        <v>164</v>
      </c>
      <c r="AL28" s="59" t="str">
        <f t="shared" si="0"/>
        <v>2025_BG_Phrag_P4_1-3_FineRoots</v>
      </c>
      <c r="AM28" s="51"/>
      <c r="AN28" s="45" t="s">
        <v>160</v>
      </c>
      <c r="AO28" s="45" t="s">
        <v>161</v>
      </c>
      <c r="AP28" s="45" t="s">
        <v>320</v>
      </c>
      <c r="AQ28" s="45" t="s">
        <v>327</v>
      </c>
      <c r="AR28" s="45" t="s">
        <v>215</v>
      </c>
      <c r="AS28" s="45" t="s">
        <v>164</v>
      </c>
      <c r="AT28" s="45" t="str">
        <f t="shared" si="11"/>
        <v>2025_BG_SMARTX_452_4-6_FineRoots</v>
      </c>
      <c r="AV28" s="45" t="s">
        <v>160</v>
      </c>
      <c r="AW28" s="45" t="s">
        <v>161</v>
      </c>
      <c r="AX28" s="45" t="s">
        <v>320</v>
      </c>
      <c r="AY28" s="45" t="s">
        <v>341</v>
      </c>
      <c r="AZ28" s="45" t="s">
        <v>215</v>
      </c>
      <c r="BA28" s="45" t="s">
        <v>164</v>
      </c>
      <c r="BB28" s="45" t="str">
        <f t="shared" si="1"/>
        <v>2025_BG_SMARTX_322_4-6_FineRoots</v>
      </c>
    </row>
    <row r="29" spans="2:54" x14ac:dyDescent="0.2">
      <c r="B29" s="45" t="s">
        <v>160</v>
      </c>
      <c r="C29" s="45" t="s">
        <v>161</v>
      </c>
      <c r="D29" s="45" t="s">
        <v>162</v>
      </c>
      <c r="E29" s="45" t="s">
        <v>179</v>
      </c>
      <c r="F29" s="45" t="s">
        <v>165</v>
      </c>
      <c r="G29" s="39" t="str">
        <f t="shared" si="9"/>
        <v>2025_BG_Sp_9A_C3Rhiz</v>
      </c>
      <c r="J29" s="45" t="s">
        <v>160</v>
      </c>
      <c r="K29" s="45" t="s">
        <v>161</v>
      </c>
      <c r="L29" s="45" t="s">
        <v>186</v>
      </c>
      <c r="M29" s="45" t="s">
        <v>179</v>
      </c>
      <c r="N29" s="45" t="s">
        <v>165</v>
      </c>
      <c r="O29" s="39" t="str">
        <f t="shared" si="3"/>
        <v>2025_BG_Mx_9A_C3Rhiz</v>
      </c>
      <c r="R29" s="45" t="s">
        <v>160</v>
      </c>
      <c r="S29" s="45" t="s">
        <v>161</v>
      </c>
      <c r="T29" s="45" t="s">
        <v>195</v>
      </c>
      <c r="U29" s="45" t="s">
        <v>199</v>
      </c>
      <c r="V29" s="45" t="s">
        <v>165</v>
      </c>
      <c r="W29" s="39" t="str">
        <f t="shared" si="4"/>
        <v>2025_BG_Sc_9E_C3Rhiz</v>
      </c>
      <c r="Y29" s="45" t="s">
        <v>160</v>
      </c>
      <c r="Z29" s="45" t="s">
        <v>161</v>
      </c>
      <c r="AA29" s="45" t="s">
        <v>208</v>
      </c>
      <c r="AB29" s="45" t="s">
        <v>235</v>
      </c>
      <c r="AC29" s="45" t="s">
        <v>165</v>
      </c>
      <c r="AD29" s="39" t="str">
        <f t="shared" si="10"/>
        <v>2025_BG_2M_Ch9_C3Rhiz</v>
      </c>
      <c r="AF29" s="59" t="s">
        <v>160</v>
      </c>
      <c r="AG29" s="59" t="s">
        <v>161</v>
      </c>
      <c r="AH29" s="59" t="s">
        <v>210</v>
      </c>
      <c r="AI29" s="59" t="s">
        <v>218</v>
      </c>
      <c r="AJ29" s="59" t="s">
        <v>214</v>
      </c>
      <c r="AK29" s="60" t="s">
        <v>165</v>
      </c>
      <c r="AL29" s="60" t="str">
        <f t="shared" si="0"/>
        <v>2025_BG_Phrag_P4_1-3_C3Rhiz</v>
      </c>
      <c r="AM29" s="51"/>
      <c r="AN29" s="45" t="s">
        <v>160</v>
      </c>
      <c r="AO29" s="45" t="s">
        <v>161</v>
      </c>
      <c r="AP29" s="45" t="s">
        <v>320</v>
      </c>
      <c r="AQ29" s="45" t="s">
        <v>327</v>
      </c>
      <c r="AR29" s="45" t="s">
        <v>215</v>
      </c>
      <c r="AS29" s="46" t="s">
        <v>165</v>
      </c>
      <c r="AT29" s="46" t="str">
        <f t="shared" si="11"/>
        <v>2025_BG_SMARTX_452_4-6_C3Rhiz</v>
      </c>
      <c r="AV29" s="45" t="s">
        <v>160</v>
      </c>
      <c r="AW29" s="45" t="s">
        <v>161</v>
      </c>
      <c r="AX29" s="45" t="s">
        <v>320</v>
      </c>
      <c r="AY29" s="45" t="s">
        <v>341</v>
      </c>
      <c r="AZ29" s="45" t="s">
        <v>215</v>
      </c>
      <c r="BA29" s="46" t="s">
        <v>165</v>
      </c>
      <c r="BB29" s="46" t="str">
        <f t="shared" si="1"/>
        <v>2025_BG_SMARTX_322_4-6_C3Rhiz</v>
      </c>
    </row>
    <row r="30" spans="2:54" x14ac:dyDescent="0.2">
      <c r="B30" s="45" t="s">
        <v>160</v>
      </c>
      <c r="C30" s="45" t="s">
        <v>161</v>
      </c>
      <c r="D30" s="45" t="s">
        <v>162</v>
      </c>
      <c r="E30" s="45" t="s">
        <v>179</v>
      </c>
      <c r="F30" s="46" t="s">
        <v>166</v>
      </c>
      <c r="G30" s="39" t="str">
        <f t="shared" si="9"/>
        <v>2025_BG_Sp_9A_C4Rhiz</v>
      </c>
      <c r="J30" s="45" t="s">
        <v>160</v>
      </c>
      <c r="K30" s="45" t="s">
        <v>161</v>
      </c>
      <c r="L30" s="45" t="s">
        <v>186</v>
      </c>
      <c r="M30" s="45" t="s">
        <v>179</v>
      </c>
      <c r="N30" s="46" t="s">
        <v>166</v>
      </c>
      <c r="O30" s="39" t="str">
        <f t="shared" si="3"/>
        <v>2025_BG_Mx_9A_C4Rhiz</v>
      </c>
      <c r="R30" s="45" t="s">
        <v>160</v>
      </c>
      <c r="S30" s="45" t="s">
        <v>161</v>
      </c>
      <c r="T30" s="45" t="s">
        <v>195</v>
      </c>
      <c r="U30" s="45" t="s">
        <v>199</v>
      </c>
      <c r="V30" s="46" t="s">
        <v>166</v>
      </c>
      <c r="W30" s="39" t="str">
        <f t="shared" si="4"/>
        <v>2025_BG_Sc_9E_C4Rhiz</v>
      </c>
      <c r="Y30" s="45" t="s">
        <v>160</v>
      </c>
      <c r="Z30" s="45" t="s">
        <v>161</v>
      </c>
      <c r="AA30" s="45" t="s">
        <v>208</v>
      </c>
      <c r="AB30" s="45" t="s">
        <v>235</v>
      </c>
      <c r="AC30" s="45" t="s">
        <v>166</v>
      </c>
      <c r="AD30" s="39" t="str">
        <f t="shared" si="10"/>
        <v>2025_BG_2M_Ch9_C4Rhiz</v>
      </c>
      <c r="AF30" s="59" t="s">
        <v>160</v>
      </c>
      <c r="AG30" s="59" t="s">
        <v>161</v>
      </c>
      <c r="AH30" s="59" t="s">
        <v>210</v>
      </c>
      <c r="AI30" s="59" t="s">
        <v>218</v>
      </c>
      <c r="AJ30" s="59" t="s">
        <v>214</v>
      </c>
      <c r="AK30" s="59" t="s">
        <v>166</v>
      </c>
      <c r="AL30" s="59" t="str">
        <f t="shared" si="0"/>
        <v>2025_BG_Phrag_P4_1-3_C4Rhiz</v>
      </c>
      <c r="AM30" s="51"/>
      <c r="AN30" s="45" t="s">
        <v>160</v>
      </c>
      <c r="AO30" s="45" t="s">
        <v>161</v>
      </c>
      <c r="AP30" s="45" t="s">
        <v>320</v>
      </c>
      <c r="AQ30" s="45" t="s">
        <v>327</v>
      </c>
      <c r="AR30" s="45" t="s">
        <v>215</v>
      </c>
      <c r="AS30" s="45" t="s">
        <v>166</v>
      </c>
      <c r="AT30" s="45" t="str">
        <f t="shared" si="11"/>
        <v>2025_BG_SMARTX_452_4-6_C4Rhiz</v>
      </c>
      <c r="AV30" s="45" t="s">
        <v>160</v>
      </c>
      <c r="AW30" s="45" t="s">
        <v>161</v>
      </c>
      <c r="AX30" s="45" t="s">
        <v>320</v>
      </c>
      <c r="AY30" s="45" t="s">
        <v>341</v>
      </c>
      <c r="AZ30" s="45" t="s">
        <v>215</v>
      </c>
      <c r="BA30" s="45" t="s">
        <v>166</v>
      </c>
      <c r="BB30" s="45" t="str">
        <f t="shared" si="1"/>
        <v>2025_BG_SMARTX_322_4-6_C4Rhiz</v>
      </c>
    </row>
    <row r="31" spans="2:54" x14ac:dyDescent="0.2">
      <c r="B31" s="39" t="s">
        <v>160</v>
      </c>
      <c r="C31" s="39" t="s">
        <v>161</v>
      </c>
      <c r="D31" s="39" t="s">
        <v>162</v>
      </c>
      <c r="E31" s="39" t="s">
        <v>180</v>
      </c>
      <c r="F31" s="39" t="s">
        <v>164</v>
      </c>
      <c r="G31" s="39" t="str">
        <f t="shared" si="9"/>
        <v>2025_BG_Sp_10E_FineRoots</v>
      </c>
      <c r="J31" s="39" t="s">
        <v>160</v>
      </c>
      <c r="K31" s="39" t="s">
        <v>161</v>
      </c>
      <c r="L31" s="39" t="s">
        <v>186</v>
      </c>
      <c r="M31" s="39" t="s">
        <v>189</v>
      </c>
      <c r="N31" s="39" t="s">
        <v>164</v>
      </c>
      <c r="O31" s="39" t="str">
        <f t="shared" si="3"/>
        <v>2025_BG_Mx_10C_FineRoots</v>
      </c>
      <c r="R31" s="39" t="s">
        <v>160</v>
      </c>
      <c r="S31" s="39" t="s">
        <v>161</v>
      </c>
      <c r="T31" s="39" t="s">
        <v>195</v>
      </c>
      <c r="U31" s="39" t="s">
        <v>180</v>
      </c>
      <c r="V31" s="39" t="s">
        <v>164</v>
      </c>
      <c r="W31" s="39" t="str">
        <f t="shared" si="4"/>
        <v>2025_BG_Sc_10E_FineRoots</v>
      </c>
      <c r="Y31" s="52" t="s">
        <v>160</v>
      </c>
      <c r="Z31" s="52" t="s">
        <v>161</v>
      </c>
      <c r="AA31" s="52" t="s">
        <v>208</v>
      </c>
      <c r="AB31" s="52" t="s">
        <v>236</v>
      </c>
      <c r="AC31" s="52" t="s">
        <v>164</v>
      </c>
      <c r="AD31" s="39" t="str">
        <f t="shared" si="10"/>
        <v>2025_BG_2M_Ch10_FineRoots</v>
      </c>
      <c r="AF31" s="59" t="s">
        <v>160</v>
      </c>
      <c r="AG31" s="59" t="s">
        <v>161</v>
      </c>
      <c r="AH31" s="59" t="s">
        <v>210</v>
      </c>
      <c r="AI31" s="59" t="s">
        <v>218</v>
      </c>
      <c r="AJ31" s="59" t="s">
        <v>214</v>
      </c>
      <c r="AK31" s="59" t="s">
        <v>209</v>
      </c>
      <c r="AL31" s="59" t="str">
        <f t="shared" si="0"/>
        <v>2025_BG_Phrag_P4_1-3_PhragRhiz</v>
      </c>
      <c r="AM31" s="51"/>
      <c r="AN31" s="45" t="s">
        <v>160</v>
      </c>
      <c r="AO31" s="45" t="s">
        <v>161</v>
      </c>
      <c r="AP31" s="45" t="s">
        <v>320</v>
      </c>
      <c r="AQ31" s="45" t="s">
        <v>327</v>
      </c>
      <c r="AR31" s="45" t="s">
        <v>215</v>
      </c>
      <c r="AS31" s="45" t="s">
        <v>333</v>
      </c>
      <c r="AT31" s="45" t="str">
        <f t="shared" si="11"/>
        <v>2025_BG_SMARTX_452_4-6_OtherRhiz</v>
      </c>
      <c r="AV31" s="45" t="s">
        <v>160</v>
      </c>
      <c r="AW31" s="45" t="s">
        <v>161</v>
      </c>
      <c r="AX31" s="45" t="s">
        <v>320</v>
      </c>
      <c r="AY31" s="45" t="s">
        <v>341</v>
      </c>
      <c r="AZ31" s="45" t="s">
        <v>215</v>
      </c>
      <c r="BA31" s="45" t="s">
        <v>333</v>
      </c>
      <c r="BB31" s="45" t="str">
        <f t="shared" si="1"/>
        <v>2025_BG_SMARTX_322_4-6_OtherRhiz</v>
      </c>
    </row>
    <row r="32" spans="2:54" x14ac:dyDescent="0.2">
      <c r="B32" s="39" t="s">
        <v>160</v>
      </c>
      <c r="C32" s="39" t="s">
        <v>161</v>
      </c>
      <c r="D32" s="39" t="s">
        <v>162</v>
      </c>
      <c r="E32" s="39" t="s">
        <v>180</v>
      </c>
      <c r="F32" s="44" t="s">
        <v>165</v>
      </c>
      <c r="G32" s="39" t="str">
        <f t="shared" si="9"/>
        <v>2025_BG_Sp_10E_C3Rhiz</v>
      </c>
      <c r="J32" s="39" t="s">
        <v>160</v>
      </c>
      <c r="K32" s="39" t="s">
        <v>161</v>
      </c>
      <c r="L32" s="39" t="s">
        <v>186</v>
      </c>
      <c r="M32" s="39" t="s">
        <v>189</v>
      </c>
      <c r="N32" s="44" t="s">
        <v>165</v>
      </c>
      <c r="O32" s="39" t="str">
        <f t="shared" si="3"/>
        <v>2025_BG_Mx_10C_C3Rhiz</v>
      </c>
      <c r="R32" s="39" t="s">
        <v>160</v>
      </c>
      <c r="S32" s="39" t="s">
        <v>161</v>
      </c>
      <c r="T32" s="39" t="s">
        <v>195</v>
      </c>
      <c r="U32" s="39" t="s">
        <v>180</v>
      </c>
      <c r="V32" s="44" t="s">
        <v>165</v>
      </c>
      <c r="W32" s="39" t="str">
        <f t="shared" si="4"/>
        <v>2025_BG_Sc_10E_C3Rhiz</v>
      </c>
      <c r="Y32" s="52" t="s">
        <v>160</v>
      </c>
      <c r="Z32" s="52" t="s">
        <v>161</v>
      </c>
      <c r="AA32" s="52" t="s">
        <v>208</v>
      </c>
      <c r="AB32" s="52" t="s">
        <v>236</v>
      </c>
      <c r="AC32" s="53" t="s">
        <v>165</v>
      </c>
      <c r="AD32" s="39" t="str">
        <f t="shared" si="10"/>
        <v>2025_BG_2M_Ch10_C3Rhiz</v>
      </c>
      <c r="AF32" s="61" t="s">
        <v>160</v>
      </c>
      <c r="AG32" s="61" t="s">
        <v>161</v>
      </c>
      <c r="AH32" s="61" t="s">
        <v>210</v>
      </c>
      <c r="AI32" s="61" t="s">
        <v>218</v>
      </c>
      <c r="AJ32" s="61" t="s">
        <v>215</v>
      </c>
      <c r="AK32" s="61" t="s">
        <v>164</v>
      </c>
      <c r="AL32" s="61" t="str">
        <f t="shared" si="0"/>
        <v>2025_BG_Phrag_P4_4-6_FineRoots</v>
      </c>
      <c r="AM32" s="51"/>
      <c r="AN32" s="52" t="s">
        <v>160</v>
      </c>
      <c r="AO32" s="52" t="s">
        <v>161</v>
      </c>
      <c r="AP32" s="52" t="s">
        <v>320</v>
      </c>
      <c r="AQ32" s="52" t="s">
        <v>328</v>
      </c>
      <c r="AR32" s="52" t="s">
        <v>215</v>
      </c>
      <c r="AS32" s="52" t="s">
        <v>164</v>
      </c>
      <c r="AT32" s="52" t="str">
        <f t="shared" si="11"/>
        <v>2025_BG_SMARTX_453_4-6_FineRoots</v>
      </c>
      <c r="AV32" s="52" t="s">
        <v>160</v>
      </c>
      <c r="AW32" s="52" t="s">
        <v>161</v>
      </c>
      <c r="AX32" s="52" t="s">
        <v>320</v>
      </c>
      <c r="AY32" s="52" t="s">
        <v>342</v>
      </c>
      <c r="AZ32" s="52" t="s">
        <v>215</v>
      </c>
      <c r="BA32" s="52" t="s">
        <v>164</v>
      </c>
      <c r="BB32" s="52" t="str">
        <f t="shared" si="1"/>
        <v>2025_BG_SMARTX_323_4-6_FineRoots</v>
      </c>
    </row>
    <row r="33" spans="2:54" x14ac:dyDescent="0.2">
      <c r="B33" s="39" t="s">
        <v>160</v>
      </c>
      <c r="C33" s="39" t="s">
        <v>161</v>
      </c>
      <c r="D33" s="39" t="s">
        <v>162</v>
      </c>
      <c r="E33" s="39" t="s">
        <v>180</v>
      </c>
      <c r="F33" s="39" t="s">
        <v>166</v>
      </c>
      <c r="G33" s="39" t="str">
        <f t="shared" si="9"/>
        <v>2025_BG_Sp_10E_C4Rhiz</v>
      </c>
      <c r="J33" s="39" t="s">
        <v>160</v>
      </c>
      <c r="K33" s="39" t="s">
        <v>161</v>
      </c>
      <c r="L33" s="39" t="s">
        <v>186</v>
      </c>
      <c r="M33" s="39" t="s">
        <v>189</v>
      </c>
      <c r="N33" s="39" t="s">
        <v>166</v>
      </c>
      <c r="O33" s="39" t="str">
        <f t="shared" si="3"/>
        <v>2025_BG_Mx_10C_C4Rhiz</v>
      </c>
      <c r="R33" s="39" t="s">
        <v>160</v>
      </c>
      <c r="S33" s="39" t="s">
        <v>161</v>
      </c>
      <c r="T33" s="39" t="s">
        <v>195</v>
      </c>
      <c r="U33" s="39" t="s">
        <v>180</v>
      </c>
      <c r="V33" s="39" t="s">
        <v>166</v>
      </c>
      <c r="W33" s="39" t="str">
        <f t="shared" si="4"/>
        <v>2025_BG_Sc_10E_C4Rhiz</v>
      </c>
      <c r="Y33" s="52" t="s">
        <v>160</v>
      </c>
      <c r="Z33" s="52" t="s">
        <v>161</v>
      </c>
      <c r="AA33" s="52" t="s">
        <v>208</v>
      </c>
      <c r="AB33" s="52" t="s">
        <v>236</v>
      </c>
      <c r="AC33" s="52" t="s">
        <v>166</v>
      </c>
      <c r="AD33" s="39" t="str">
        <f t="shared" si="10"/>
        <v>2025_BG_2M_Ch10_C4Rhiz</v>
      </c>
      <c r="AF33" s="61" t="s">
        <v>160</v>
      </c>
      <c r="AG33" s="61" t="s">
        <v>161</v>
      </c>
      <c r="AH33" s="61" t="s">
        <v>210</v>
      </c>
      <c r="AI33" s="61" t="s">
        <v>218</v>
      </c>
      <c r="AJ33" s="61" t="s">
        <v>215</v>
      </c>
      <c r="AK33" s="62" t="s">
        <v>165</v>
      </c>
      <c r="AL33" s="62" t="str">
        <f t="shared" si="0"/>
        <v>2025_BG_Phrag_P4_4-6_C3Rhiz</v>
      </c>
      <c r="AM33" s="51"/>
      <c r="AN33" s="52" t="s">
        <v>160</v>
      </c>
      <c r="AO33" s="52" t="s">
        <v>161</v>
      </c>
      <c r="AP33" s="52" t="s">
        <v>320</v>
      </c>
      <c r="AQ33" s="52" t="s">
        <v>328</v>
      </c>
      <c r="AR33" s="52" t="s">
        <v>215</v>
      </c>
      <c r="AS33" s="53" t="s">
        <v>165</v>
      </c>
      <c r="AT33" s="53" t="str">
        <f t="shared" si="11"/>
        <v>2025_BG_SMARTX_453_4-6_C3Rhiz</v>
      </c>
      <c r="AV33" s="52" t="s">
        <v>160</v>
      </c>
      <c r="AW33" s="52" t="s">
        <v>161</v>
      </c>
      <c r="AX33" s="52" t="s">
        <v>320</v>
      </c>
      <c r="AY33" s="52" t="s">
        <v>342</v>
      </c>
      <c r="AZ33" s="52" t="s">
        <v>215</v>
      </c>
      <c r="BA33" s="53" t="s">
        <v>165</v>
      </c>
      <c r="BB33" s="53" t="str">
        <f t="shared" si="1"/>
        <v>2025_BG_SMARTX_323_4-6_C3Rhiz</v>
      </c>
    </row>
    <row r="34" spans="2:54" x14ac:dyDescent="0.2">
      <c r="B34" s="45" t="s">
        <v>160</v>
      </c>
      <c r="C34" s="45" t="s">
        <v>161</v>
      </c>
      <c r="D34" s="45" t="s">
        <v>162</v>
      </c>
      <c r="E34" s="45" t="s">
        <v>181</v>
      </c>
      <c r="F34" s="45" t="s">
        <v>164</v>
      </c>
      <c r="G34" s="39" t="str">
        <f t="shared" si="9"/>
        <v>2025_BG_Sp_11A_FineRoots</v>
      </c>
      <c r="J34" s="45" t="s">
        <v>160</v>
      </c>
      <c r="K34" s="45" t="s">
        <v>161</v>
      </c>
      <c r="L34" s="45" t="s">
        <v>186</v>
      </c>
      <c r="M34" s="45" t="s">
        <v>190</v>
      </c>
      <c r="N34" s="45" t="s">
        <v>164</v>
      </c>
      <c r="O34" s="39" t="str">
        <f t="shared" si="3"/>
        <v>2025_BG_Mx_11E_FineRoots</v>
      </c>
      <c r="R34" s="45" t="s">
        <v>160</v>
      </c>
      <c r="S34" s="45" t="s">
        <v>161</v>
      </c>
      <c r="T34" s="45" t="s">
        <v>195</v>
      </c>
      <c r="U34" s="45" t="s">
        <v>200</v>
      </c>
      <c r="V34" s="45" t="s">
        <v>164</v>
      </c>
      <c r="W34" s="39" t="str">
        <f t="shared" si="4"/>
        <v>2025_BG_Sc_11C_FineRoots</v>
      </c>
      <c r="Y34" s="45" t="s">
        <v>160</v>
      </c>
      <c r="Z34" s="45" t="s">
        <v>161</v>
      </c>
      <c r="AA34" s="45" t="s">
        <v>208</v>
      </c>
      <c r="AB34" s="45" t="s">
        <v>237</v>
      </c>
      <c r="AC34" s="45" t="s">
        <v>164</v>
      </c>
      <c r="AD34" s="39" t="str">
        <f t="shared" si="10"/>
        <v>2025_BG_2M_Ch11_FineRoots</v>
      </c>
      <c r="AF34" s="61" t="s">
        <v>160</v>
      </c>
      <c r="AG34" s="61" t="s">
        <v>161</v>
      </c>
      <c r="AH34" s="61" t="s">
        <v>210</v>
      </c>
      <c r="AI34" s="61" t="s">
        <v>218</v>
      </c>
      <c r="AJ34" s="61" t="s">
        <v>215</v>
      </c>
      <c r="AK34" s="61" t="s">
        <v>166</v>
      </c>
      <c r="AL34" s="61" t="str">
        <f t="shared" si="0"/>
        <v>2025_BG_Phrag_P4_4-6_C4Rhiz</v>
      </c>
      <c r="AM34" s="51"/>
      <c r="AN34" s="52" t="s">
        <v>160</v>
      </c>
      <c r="AO34" s="52" t="s">
        <v>161</v>
      </c>
      <c r="AP34" s="52" t="s">
        <v>320</v>
      </c>
      <c r="AQ34" s="52" t="s">
        <v>328</v>
      </c>
      <c r="AR34" s="52" t="s">
        <v>215</v>
      </c>
      <c r="AS34" s="52" t="s">
        <v>166</v>
      </c>
      <c r="AT34" s="52" t="str">
        <f t="shared" si="11"/>
        <v>2025_BG_SMARTX_453_4-6_C4Rhiz</v>
      </c>
      <c r="AV34" s="52" t="s">
        <v>160</v>
      </c>
      <c r="AW34" s="52" t="s">
        <v>161</v>
      </c>
      <c r="AX34" s="52" t="s">
        <v>320</v>
      </c>
      <c r="AY34" s="52" t="s">
        <v>342</v>
      </c>
      <c r="AZ34" s="52" t="s">
        <v>215</v>
      </c>
      <c r="BA34" s="52" t="s">
        <v>166</v>
      </c>
      <c r="BB34" s="52" t="str">
        <f t="shared" si="1"/>
        <v>2025_BG_SMARTX_323_4-6_C4Rhiz</v>
      </c>
    </row>
    <row r="35" spans="2:54" x14ac:dyDescent="0.2">
      <c r="B35" s="45" t="s">
        <v>160</v>
      </c>
      <c r="C35" s="45" t="s">
        <v>161</v>
      </c>
      <c r="D35" s="45" t="s">
        <v>162</v>
      </c>
      <c r="E35" s="45" t="s">
        <v>181</v>
      </c>
      <c r="F35" s="45" t="s">
        <v>165</v>
      </c>
      <c r="G35" s="39" t="str">
        <f t="shared" si="9"/>
        <v>2025_BG_Sp_11A_C3Rhiz</v>
      </c>
      <c r="J35" s="45" t="s">
        <v>160</v>
      </c>
      <c r="K35" s="45" t="s">
        <v>161</v>
      </c>
      <c r="L35" s="45" t="s">
        <v>186</v>
      </c>
      <c r="M35" s="45" t="s">
        <v>190</v>
      </c>
      <c r="N35" s="45" t="s">
        <v>165</v>
      </c>
      <c r="O35" s="39" t="str">
        <f t="shared" si="3"/>
        <v>2025_BG_Mx_11E_C3Rhiz</v>
      </c>
      <c r="R35" s="45" t="s">
        <v>160</v>
      </c>
      <c r="S35" s="45" t="s">
        <v>161</v>
      </c>
      <c r="T35" s="45" t="s">
        <v>195</v>
      </c>
      <c r="U35" s="45" t="s">
        <v>200</v>
      </c>
      <c r="V35" s="45" t="s">
        <v>165</v>
      </c>
      <c r="W35" s="39" t="str">
        <f t="shared" si="4"/>
        <v>2025_BG_Sc_11C_C3Rhiz</v>
      </c>
      <c r="Y35" s="45" t="s">
        <v>160</v>
      </c>
      <c r="Z35" s="45" t="s">
        <v>161</v>
      </c>
      <c r="AA35" s="45" t="s">
        <v>208</v>
      </c>
      <c r="AB35" s="45" t="s">
        <v>237</v>
      </c>
      <c r="AC35" s="45" t="s">
        <v>165</v>
      </c>
      <c r="AD35" s="39" t="str">
        <f t="shared" si="10"/>
        <v>2025_BG_2M_Ch11_C3Rhiz</v>
      </c>
      <c r="AF35" s="61" t="s">
        <v>160</v>
      </c>
      <c r="AG35" s="61" t="s">
        <v>161</v>
      </c>
      <c r="AH35" s="61" t="s">
        <v>210</v>
      </c>
      <c r="AI35" s="61" t="s">
        <v>218</v>
      </c>
      <c r="AJ35" s="61" t="s">
        <v>215</v>
      </c>
      <c r="AK35" s="61" t="s">
        <v>209</v>
      </c>
      <c r="AL35" s="61" t="str">
        <f t="shared" si="0"/>
        <v>2025_BG_Phrag_P4_4-6_PhragRhiz</v>
      </c>
      <c r="AM35" s="51"/>
      <c r="AN35" s="52" t="s">
        <v>160</v>
      </c>
      <c r="AO35" s="52" t="s">
        <v>161</v>
      </c>
      <c r="AP35" s="52" t="s">
        <v>320</v>
      </c>
      <c r="AQ35" s="52" t="s">
        <v>328</v>
      </c>
      <c r="AR35" s="52" t="s">
        <v>215</v>
      </c>
      <c r="AS35" s="52" t="s">
        <v>333</v>
      </c>
      <c r="AT35" s="52" t="str">
        <f t="shared" si="11"/>
        <v>2025_BG_SMARTX_453_4-6_OtherRhiz</v>
      </c>
      <c r="AV35" s="52" t="s">
        <v>160</v>
      </c>
      <c r="AW35" s="52" t="s">
        <v>161</v>
      </c>
      <c r="AX35" s="52" t="s">
        <v>320</v>
      </c>
      <c r="AY35" s="52" t="s">
        <v>342</v>
      </c>
      <c r="AZ35" s="52" t="s">
        <v>215</v>
      </c>
      <c r="BA35" s="52" t="s">
        <v>333</v>
      </c>
      <c r="BB35" s="52" t="str">
        <f t="shared" si="1"/>
        <v>2025_BG_SMARTX_323_4-6_OtherRhiz</v>
      </c>
    </row>
    <row r="36" spans="2:54" x14ac:dyDescent="0.2">
      <c r="B36" s="45" t="s">
        <v>160</v>
      </c>
      <c r="C36" s="45" t="s">
        <v>161</v>
      </c>
      <c r="D36" s="45" t="s">
        <v>162</v>
      </c>
      <c r="E36" s="45" t="s">
        <v>181</v>
      </c>
      <c r="F36" s="46" t="s">
        <v>166</v>
      </c>
      <c r="G36" s="39" t="str">
        <f t="shared" si="9"/>
        <v>2025_BG_Sp_11A_C4Rhiz</v>
      </c>
      <c r="J36" s="45" t="s">
        <v>160</v>
      </c>
      <c r="K36" s="45" t="s">
        <v>161</v>
      </c>
      <c r="L36" s="45" t="s">
        <v>186</v>
      </c>
      <c r="M36" s="45" t="s">
        <v>190</v>
      </c>
      <c r="N36" s="46" t="s">
        <v>166</v>
      </c>
      <c r="O36" s="39" t="str">
        <f t="shared" si="3"/>
        <v>2025_BG_Mx_11E_C4Rhiz</v>
      </c>
      <c r="R36" s="45" t="s">
        <v>160</v>
      </c>
      <c r="S36" s="45" t="s">
        <v>161</v>
      </c>
      <c r="T36" s="45" t="s">
        <v>195</v>
      </c>
      <c r="U36" s="45" t="s">
        <v>200</v>
      </c>
      <c r="V36" s="46" t="s">
        <v>166</v>
      </c>
      <c r="W36" s="39" t="str">
        <f t="shared" si="4"/>
        <v>2025_BG_Sc_11C_C4Rhiz</v>
      </c>
      <c r="Y36" s="45" t="s">
        <v>160</v>
      </c>
      <c r="Z36" s="45" t="s">
        <v>161</v>
      </c>
      <c r="AA36" s="45" t="s">
        <v>208</v>
      </c>
      <c r="AB36" s="45" t="s">
        <v>237</v>
      </c>
      <c r="AC36" s="45" t="s">
        <v>166</v>
      </c>
      <c r="AD36" s="39" t="str">
        <f t="shared" si="10"/>
        <v>2025_BG_2M_Ch11_C4Rhiz</v>
      </c>
      <c r="AF36" s="45" t="s">
        <v>160</v>
      </c>
      <c r="AG36" s="45" t="s">
        <v>161</v>
      </c>
      <c r="AH36" s="45" t="s">
        <v>210</v>
      </c>
      <c r="AI36" s="45" t="s">
        <v>219</v>
      </c>
      <c r="AJ36" s="45" t="s">
        <v>214</v>
      </c>
      <c r="AK36" s="45" t="s">
        <v>164</v>
      </c>
      <c r="AL36" s="45" t="str">
        <f t="shared" ref="AL36:AL67" si="12">_xlfn.CONCAT(AF36:AK36)</f>
        <v>2025_BG_Phrag_P5_1-3_FineRoots</v>
      </c>
      <c r="AM36" s="51"/>
      <c r="AN36" s="45" t="s">
        <v>160</v>
      </c>
      <c r="AO36" s="45" t="s">
        <v>161</v>
      </c>
      <c r="AP36" s="45" t="s">
        <v>320</v>
      </c>
      <c r="AQ36" s="45" t="s">
        <v>329</v>
      </c>
      <c r="AR36" s="45" t="s">
        <v>215</v>
      </c>
      <c r="AS36" s="45" t="s">
        <v>164</v>
      </c>
      <c r="AT36" s="45" t="str">
        <f t="shared" si="11"/>
        <v>2025_BG_SMARTX_460_4-6_FineRoots</v>
      </c>
      <c r="AV36" s="45" t="s">
        <v>160</v>
      </c>
      <c r="AW36" s="45" t="s">
        <v>161</v>
      </c>
      <c r="AX36" s="45" t="s">
        <v>320</v>
      </c>
      <c r="AY36" s="45" t="s">
        <v>343</v>
      </c>
      <c r="AZ36" s="45" t="s">
        <v>215</v>
      </c>
      <c r="BA36" s="45" t="s">
        <v>164</v>
      </c>
      <c r="BB36" s="45" t="str">
        <f t="shared" si="1"/>
        <v>2025_BG_SMARTX_330_4-6_FineRoots</v>
      </c>
    </row>
    <row r="37" spans="2:54" x14ac:dyDescent="0.2">
      <c r="B37" s="39" t="s">
        <v>160</v>
      </c>
      <c r="C37" s="39" t="s">
        <v>161</v>
      </c>
      <c r="D37" s="39" t="s">
        <v>162</v>
      </c>
      <c r="E37" s="39" t="s">
        <v>182</v>
      </c>
      <c r="F37" s="39" t="s">
        <v>164</v>
      </c>
      <c r="G37" s="39" t="str">
        <f t="shared" si="9"/>
        <v>2025_BG_Sp_12C_FineRoots</v>
      </c>
      <c r="J37" s="39" t="s">
        <v>160</v>
      </c>
      <c r="K37" s="39" t="s">
        <v>161</v>
      </c>
      <c r="L37" s="39" t="s">
        <v>186</v>
      </c>
      <c r="M37" s="39" t="s">
        <v>191</v>
      </c>
      <c r="N37" s="39" t="s">
        <v>164</v>
      </c>
      <c r="O37" s="39" t="str">
        <f t="shared" si="3"/>
        <v>2025_BG_Mx_12A_FineRoots</v>
      </c>
      <c r="R37" s="39" t="s">
        <v>160</v>
      </c>
      <c r="S37" s="39" t="s">
        <v>161</v>
      </c>
      <c r="T37" s="39" t="s">
        <v>195</v>
      </c>
      <c r="U37" s="39" t="s">
        <v>191</v>
      </c>
      <c r="V37" s="39" t="s">
        <v>164</v>
      </c>
      <c r="W37" s="39" t="str">
        <f t="shared" si="4"/>
        <v>2025_BG_Sc_12A_FineRoots</v>
      </c>
      <c r="Y37" s="52" t="s">
        <v>160</v>
      </c>
      <c r="Z37" s="52" t="s">
        <v>161</v>
      </c>
      <c r="AA37" s="52" t="s">
        <v>208</v>
      </c>
      <c r="AB37" s="52" t="s">
        <v>238</v>
      </c>
      <c r="AC37" s="52" t="s">
        <v>164</v>
      </c>
      <c r="AD37" s="39" t="str">
        <f t="shared" si="10"/>
        <v>2025_BG_2M_Ch12_FineRoots</v>
      </c>
      <c r="AF37" s="45" t="s">
        <v>160</v>
      </c>
      <c r="AG37" s="45" t="s">
        <v>161</v>
      </c>
      <c r="AH37" s="45" t="s">
        <v>210</v>
      </c>
      <c r="AI37" s="45" t="s">
        <v>219</v>
      </c>
      <c r="AJ37" s="45" t="s">
        <v>214</v>
      </c>
      <c r="AK37" s="46" t="s">
        <v>165</v>
      </c>
      <c r="AL37" s="46" t="str">
        <f t="shared" si="12"/>
        <v>2025_BG_Phrag_P5_1-3_C3Rhiz</v>
      </c>
      <c r="AM37" s="51"/>
      <c r="AN37" s="45" t="s">
        <v>160</v>
      </c>
      <c r="AO37" s="45" t="s">
        <v>161</v>
      </c>
      <c r="AP37" s="45" t="s">
        <v>320</v>
      </c>
      <c r="AQ37" s="45" t="s">
        <v>329</v>
      </c>
      <c r="AR37" s="45" t="s">
        <v>215</v>
      </c>
      <c r="AS37" s="46" t="s">
        <v>165</v>
      </c>
      <c r="AT37" s="46" t="str">
        <f t="shared" si="11"/>
        <v>2025_BG_SMARTX_460_4-6_C3Rhiz</v>
      </c>
      <c r="AV37" s="45" t="s">
        <v>160</v>
      </c>
      <c r="AW37" s="45" t="s">
        <v>161</v>
      </c>
      <c r="AX37" s="45" t="s">
        <v>320</v>
      </c>
      <c r="AY37" s="45" t="s">
        <v>343</v>
      </c>
      <c r="AZ37" s="45" t="s">
        <v>215</v>
      </c>
      <c r="BA37" s="46" t="s">
        <v>165</v>
      </c>
      <c r="BB37" s="46" t="str">
        <f t="shared" si="1"/>
        <v>2025_BG_SMARTX_330_4-6_C3Rhiz</v>
      </c>
    </row>
    <row r="38" spans="2:54" x14ac:dyDescent="0.2">
      <c r="B38" s="39" t="s">
        <v>160</v>
      </c>
      <c r="C38" s="39" t="s">
        <v>161</v>
      </c>
      <c r="D38" s="39" t="s">
        <v>162</v>
      </c>
      <c r="E38" s="39" t="s">
        <v>182</v>
      </c>
      <c r="F38" s="44" t="s">
        <v>165</v>
      </c>
      <c r="G38" s="39" t="str">
        <f t="shared" si="9"/>
        <v>2025_BG_Sp_12C_C3Rhiz</v>
      </c>
      <c r="J38" s="39" t="s">
        <v>160</v>
      </c>
      <c r="K38" s="39" t="s">
        <v>161</v>
      </c>
      <c r="L38" s="39" t="s">
        <v>186</v>
      </c>
      <c r="M38" s="39" t="s">
        <v>191</v>
      </c>
      <c r="N38" s="44" t="s">
        <v>165</v>
      </c>
      <c r="O38" s="39" t="str">
        <f t="shared" si="3"/>
        <v>2025_BG_Mx_12A_C3Rhiz</v>
      </c>
      <c r="R38" s="39" t="s">
        <v>160</v>
      </c>
      <c r="S38" s="39" t="s">
        <v>161</v>
      </c>
      <c r="T38" s="39" t="s">
        <v>195</v>
      </c>
      <c r="U38" s="39" t="s">
        <v>191</v>
      </c>
      <c r="V38" s="44" t="s">
        <v>165</v>
      </c>
      <c r="W38" s="39" t="str">
        <f t="shared" si="4"/>
        <v>2025_BG_Sc_12A_C3Rhiz</v>
      </c>
      <c r="Y38" s="52" t="s">
        <v>160</v>
      </c>
      <c r="Z38" s="52" t="s">
        <v>161</v>
      </c>
      <c r="AA38" s="52" t="s">
        <v>208</v>
      </c>
      <c r="AB38" s="52" t="s">
        <v>238</v>
      </c>
      <c r="AC38" s="53" t="s">
        <v>165</v>
      </c>
      <c r="AD38" s="39" t="str">
        <f t="shared" si="10"/>
        <v>2025_BG_2M_Ch12_C3Rhiz</v>
      </c>
      <c r="AF38" s="45" t="s">
        <v>160</v>
      </c>
      <c r="AG38" s="45" t="s">
        <v>161</v>
      </c>
      <c r="AH38" s="45" t="s">
        <v>210</v>
      </c>
      <c r="AI38" s="45" t="s">
        <v>219</v>
      </c>
      <c r="AJ38" s="45" t="s">
        <v>214</v>
      </c>
      <c r="AK38" s="45" t="s">
        <v>166</v>
      </c>
      <c r="AL38" s="45" t="str">
        <f t="shared" si="12"/>
        <v>2025_BG_Phrag_P5_1-3_C4Rhiz</v>
      </c>
      <c r="AM38" s="51"/>
      <c r="AN38" s="45" t="s">
        <v>160</v>
      </c>
      <c r="AO38" s="45" t="s">
        <v>161</v>
      </c>
      <c r="AP38" s="45" t="s">
        <v>320</v>
      </c>
      <c r="AQ38" s="45" t="s">
        <v>329</v>
      </c>
      <c r="AR38" s="45" t="s">
        <v>215</v>
      </c>
      <c r="AS38" s="45" t="s">
        <v>166</v>
      </c>
      <c r="AT38" s="45" t="str">
        <f t="shared" si="11"/>
        <v>2025_BG_SMARTX_460_4-6_C4Rhiz</v>
      </c>
      <c r="AV38" s="45" t="s">
        <v>160</v>
      </c>
      <c r="AW38" s="45" t="s">
        <v>161</v>
      </c>
      <c r="AX38" s="45" t="s">
        <v>320</v>
      </c>
      <c r="AY38" s="45" t="s">
        <v>343</v>
      </c>
      <c r="AZ38" s="45" t="s">
        <v>215</v>
      </c>
      <c r="BA38" s="45" t="s">
        <v>166</v>
      </c>
      <c r="BB38" s="45" t="str">
        <f t="shared" si="1"/>
        <v>2025_BG_SMARTX_330_4-6_C4Rhiz</v>
      </c>
    </row>
    <row r="39" spans="2:54" x14ac:dyDescent="0.2">
      <c r="B39" s="39" t="s">
        <v>160</v>
      </c>
      <c r="C39" s="39" t="s">
        <v>161</v>
      </c>
      <c r="D39" s="39" t="s">
        <v>162</v>
      </c>
      <c r="E39" s="39" t="s">
        <v>182</v>
      </c>
      <c r="F39" s="39" t="s">
        <v>166</v>
      </c>
      <c r="G39" s="39" t="str">
        <f t="shared" si="9"/>
        <v>2025_BG_Sp_12C_C4Rhiz</v>
      </c>
      <c r="J39" s="39" t="s">
        <v>160</v>
      </c>
      <c r="K39" s="39" t="s">
        <v>161</v>
      </c>
      <c r="L39" s="39" t="s">
        <v>186</v>
      </c>
      <c r="M39" s="39" t="s">
        <v>191</v>
      </c>
      <c r="N39" s="39" t="s">
        <v>166</v>
      </c>
      <c r="O39" s="39" t="str">
        <f t="shared" si="3"/>
        <v>2025_BG_Mx_12A_C4Rhiz</v>
      </c>
      <c r="R39" s="39" t="s">
        <v>160</v>
      </c>
      <c r="S39" s="39" t="s">
        <v>161</v>
      </c>
      <c r="T39" s="39" t="s">
        <v>195</v>
      </c>
      <c r="U39" s="39" t="s">
        <v>191</v>
      </c>
      <c r="V39" s="39" t="s">
        <v>166</v>
      </c>
      <c r="W39" s="39" t="str">
        <f t="shared" si="4"/>
        <v>2025_BG_Sc_12A_C4Rhiz</v>
      </c>
      <c r="Y39" s="52" t="s">
        <v>160</v>
      </c>
      <c r="Z39" s="52" t="s">
        <v>161</v>
      </c>
      <c r="AA39" s="52" t="s">
        <v>208</v>
      </c>
      <c r="AB39" s="52" t="s">
        <v>238</v>
      </c>
      <c r="AC39" s="52" t="s">
        <v>166</v>
      </c>
      <c r="AD39" s="39" t="str">
        <f t="shared" si="10"/>
        <v>2025_BG_2M_Ch12_C4Rhiz</v>
      </c>
      <c r="AF39" s="45" t="s">
        <v>160</v>
      </c>
      <c r="AG39" s="45" t="s">
        <v>161</v>
      </c>
      <c r="AH39" s="45" t="s">
        <v>210</v>
      </c>
      <c r="AI39" s="45" t="s">
        <v>219</v>
      </c>
      <c r="AJ39" s="45" t="s">
        <v>214</v>
      </c>
      <c r="AK39" s="45" t="s">
        <v>209</v>
      </c>
      <c r="AL39" s="45" t="str">
        <f t="shared" si="12"/>
        <v>2025_BG_Phrag_P5_1-3_PhragRhiz</v>
      </c>
      <c r="AM39" s="51"/>
      <c r="AN39" s="45" t="s">
        <v>160</v>
      </c>
      <c r="AO39" s="45" t="s">
        <v>161</v>
      </c>
      <c r="AP39" s="45" t="s">
        <v>320</v>
      </c>
      <c r="AQ39" s="45" t="s">
        <v>329</v>
      </c>
      <c r="AR39" s="45" t="s">
        <v>215</v>
      </c>
      <c r="AS39" s="45" t="s">
        <v>333</v>
      </c>
      <c r="AT39" s="45" t="str">
        <f t="shared" si="11"/>
        <v>2025_BG_SMARTX_460_4-6_OtherRhiz</v>
      </c>
      <c r="AV39" s="45" t="s">
        <v>160</v>
      </c>
      <c r="AW39" s="45" t="s">
        <v>161</v>
      </c>
      <c r="AX39" s="45" t="s">
        <v>320</v>
      </c>
      <c r="AY39" s="45" t="s">
        <v>343</v>
      </c>
      <c r="AZ39" s="45" t="s">
        <v>215</v>
      </c>
      <c r="BA39" s="45" t="s">
        <v>333</v>
      </c>
      <c r="BB39" s="45" t="str">
        <f t="shared" si="1"/>
        <v>2025_BG_SMARTX_330_4-6_OtherRhiz</v>
      </c>
    </row>
    <row r="40" spans="2:54" x14ac:dyDescent="0.2">
      <c r="B40" s="45" t="s">
        <v>160</v>
      </c>
      <c r="C40" s="45" t="s">
        <v>161</v>
      </c>
      <c r="D40" s="45" t="s">
        <v>162</v>
      </c>
      <c r="E40" s="45" t="s">
        <v>183</v>
      </c>
      <c r="F40" s="45" t="s">
        <v>164</v>
      </c>
      <c r="G40" s="39" t="str">
        <f t="shared" si="9"/>
        <v>2025_BG_Sp_13A_FineRoots</v>
      </c>
      <c r="J40" s="45" t="s">
        <v>160</v>
      </c>
      <c r="K40" s="45" t="s">
        <v>161</v>
      </c>
      <c r="L40" s="45" t="s">
        <v>186</v>
      </c>
      <c r="M40" s="45" t="s">
        <v>192</v>
      </c>
      <c r="N40" s="45" t="s">
        <v>164</v>
      </c>
      <c r="O40" s="39" t="str">
        <f t="shared" si="3"/>
        <v>2025_BG_Mx_13E_FineRoots</v>
      </c>
      <c r="R40" s="45" t="s">
        <v>160</v>
      </c>
      <c r="S40" s="45" t="s">
        <v>161</v>
      </c>
      <c r="T40" s="45" t="s">
        <v>195</v>
      </c>
      <c r="U40" s="45" t="s">
        <v>201</v>
      </c>
      <c r="V40" s="45" t="s">
        <v>164</v>
      </c>
      <c r="W40" s="39" t="str">
        <f t="shared" si="4"/>
        <v>2025_BG_Sc_13C_FineRoots</v>
      </c>
      <c r="Y40" s="45" t="s">
        <v>160</v>
      </c>
      <c r="Z40" s="45" t="s">
        <v>161</v>
      </c>
      <c r="AA40" s="45" t="s">
        <v>208</v>
      </c>
      <c r="AB40" s="45" t="s">
        <v>239</v>
      </c>
      <c r="AC40" s="45" t="s">
        <v>164</v>
      </c>
      <c r="AD40" s="39" t="str">
        <f t="shared" si="10"/>
        <v>2025_BG_2M_Ch13_FineRoots</v>
      </c>
      <c r="AF40" s="57" t="s">
        <v>160</v>
      </c>
      <c r="AG40" s="57" t="s">
        <v>161</v>
      </c>
      <c r="AH40" s="57" t="s">
        <v>210</v>
      </c>
      <c r="AI40" s="57" t="s">
        <v>219</v>
      </c>
      <c r="AJ40" s="57" t="s">
        <v>215</v>
      </c>
      <c r="AK40" s="57" t="s">
        <v>164</v>
      </c>
      <c r="AL40" s="57" t="str">
        <f t="shared" si="12"/>
        <v>2025_BG_Phrag_P5_4-6_FineRoots</v>
      </c>
      <c r="AM40" s="51"/>
      <c r="AN40" s="52" t="s">
        <v>160</v>
      </c>
      <c r="AO40" s="52" t="s">
        <v>161</v>
      </c>
      <c r="AP40" s="52" t="s">
        <v>320</v>
      </c>
      <c r="AQ40" s="52" t="s">
        <v>330</v>
      </c>
      <c r="AR40" s="52" t="s">
        <v>215</v>
      </c>
      <c r="AS40" s="52" t="s">
        <v>164</v>
      </c>
      <c r="AT40" s="52" t="str">
        <f t="shared" ref="AT40:AT87" si="13">_xlfn.CONCAT(AN40:AS40)</f>
        <v>2025_BG_SMARTX_461_4-6_FineRoots</v>
      </c>
      <c r="AV40" s="52" t="s">
        <v>160</v>
      </c>
      <c r="AW40" s="52" t="s">
        <v>161</v>
      </c>
      <c r="AX40" s="52" t="s">
        <v>320</v>
      </c>
      <c r="AY40" s="52" t="s">
        <v>344</v>
      </c>
      <c r="AZ40" s="52" t="s">
        <v>215</v>
      </c>
      <c r="BA40" s="52" t="s">
        <v>164</v>
      </c>
      <c r="BB40" s="52" t="str">
        <f t="shared" si="1"/>
        <v>2025_BG_SMARTX_331_4-6_FineRoots</v>
      </c>
    </row>
    <row r="41" spans="2:54" x14ac:dyDescent="0.2">
      <c r="B41" s="45" t="s">
        <v>160</v>
      </c>
      <c r="C41" s="45" t="s">
        <v>161</v>
      </c>
      <c r="D41" s="45" t="s">
        <v>162</v>
      </c>
      <c r="E41" s="45" t="s">
        <v>183</v>
      </c>
      <c r="F41" s="45" t="s">
        <v>165</v>
      </c>
      <c r="G41" s="39" t="str">
        <f>_xlfn.CONCAT(B41:F41)</f>
        <v>2025_BG_Sp_13A_C3Rhiz</v>
      </c>
      <c r="J41" s="45" t="s">
        <v>160</v>
      </c>
      <c r="K41" s="45" t="s">
        <v>161</v>
      </c>
      <c r="L41" s="45" t="s">
        <v>186</v>
      </c>
      <c r="M41" s="45" t="s">
        <v>192</v>
      </c>
      <c r="N41" s="45" t="s">
        <v>165</v>
      </c>
      <c r="O41" s="39" t="str">
        <f t="shared" si="3"/>
        <v>2025_BG_Mx_13E_C3Rhiz</v>
      </c>
      <c r="R41" s="45" t="s">
        <v>160</v>
      </c>
      <c r="S41" s="45" t="s">
        <v>161</v>
      </c>
      <c r="T41" s="45" t="s">
        <v>195</v>
      </c>
      <c r="U41" s="45" t="s">
        <v>201</v>
      </c>
      <c r="V41" s="45" t="s">
        <v>165</v>
      </c>
      <c r="W41" s="39" t="str">
        <f t="shared" si="4"/>
        <v>2025_BG_Sc_13C_C3Rhiz</v>
      </c>
      <c r="Y41" s="45" t="s">
        <v>160</v>
      </c>
      <c r="Z41" s="45" t="s">
        <v>161</v>
      </c>
      <c r="AA41" s="45" t="s">
        <v>208</v>
      </c>
      <c r="AB41" s="45" t="s">
        <v>239</v>
      </c>
      <c r="AC41" s="45" t="s">
        <v>165</v>
      </c>
      <c r="AD41" s="39" t="str">
        <f>_xlfn.CONCAT(Y41:AC41)</f>
        <v>2025_BG_2M_Ch13_C3Rhiz</v>
      </c>
      <c r="AF41" s="57" t="s">
        <v>160</v>
      </c>
      <c r="AG41" s="57" t="s">
        <v>161</v>
      </c>
      <c r="AH41" s="57" t="s">
        <v>210</v>
      </c>
      <c r="AI41" s="57" t="s">
        <v>219</v>
      </c>
      <c r="AJ41" s="57" t="s">
        <v>215</v>
      </c>
      <c r="AK41" s="58" t="s">
        <v>165</v>
      </c>
      <c r="AL41" s="58" t="str">
        <f t="shared" si="12"/>
        <v>2025_BG_Phrag_P5_4-6_C3Rhiz</v>
      </c>
      <c r="AM41" s="51"/>
      <c r="AN41" s="52" t="s">
        <v>160</v>
      </c>
      <c r="AO41" s="52" t="s">
        <v>161</v>
      </c>
      <c r="AP41" s="52" t="s">
        <v>320</v>
      </c>
      <c r="AQ41" s="52" t="s">
        <v>330</v>
      </c>
      <c r="AR41" s="52" t="s">
        <v>215</v>
      </c>
      <c r="AS41" s="53" t="s">
        <v>165</v>
      </c>
      <c r="AT41" s="53" t="str">
        <f t="shared" si="13"/>
        <v>2025_BG_SMARTX_461_4-6_C3Rhiz</v>
      </c>
      <c r="AV41" s="52" t="s">
        <v>160</v>
      </c>
      <c r="AW41" s="52" t="s">
        <v>161</v>
      </c>
      <c r="AX41" s="52" t="s">
        <v>320</v>
      </c>
      <c r="AY41" s="52" t="s">
        <v>344</v>
      </c>
      <c r="AZ41" s="52" t="s">
        <v>215</v>
      </c>
      <c r="BA41" s="53" t="s">
        <v>165</v>
      </c>
      <c r="BB41" s="53" t="str">
        <f t="shared" si="1"/>
        <v>2025_BG_SMARTX_331_4-6_C3Rhiz</v>
      </c>
    </row>
    <row r="42" spans="2:54" x14ac:dyDescent="0.2">
      <c r="B42" s="45" t="s">
        <v>160</v>
      </c>
      <c r="C42" s="45" t="s">
        <v>161</v>
      </c>
      <c r="D42" s="45" t="s">
        <v>162</v>
      </c>
      <c r="E42" s="45" t="s">
        <v>183</v>
      </c>
      <c r="F42" s="46" t="s">
        <v>166</v>
      </c>
      <c r="G42" s="39" t="str">
        <f t="shared" si="9"/>
        <v>2025_BG_Sp_13A_C4Rhiz</v>
      </c>
      <c r="J42" s="45" t="s">
        <v>160</v>
      </c>
      <c r="K42" s="45" t="s">
        <v>161</v>
      </c>
      <c r="L42" s="45" t="s">
        <v>186</v>
      </c>
      <c r="M42" s="45" t="s">
        <v>192</v>
      </c>
      <c r="N42" s="46" t="s">
        <v>166</v>
      </c>
      <c r="O42" s="39" t="str">
        <f t="shared" si="3"/>
        <v>2025_BG_Mx_13E_C4Rhiz</v>
      </c>
      <c r="R42" s="45" t="s">
        <v>160</v>
      </c>
      <c r="S42" s="45" t="s">
        <v>161</v>
      </c>
      <c r="T42" s="45" t="s">
        <v>195</v>
      </c>
      <c r="U42" s="45" t="s">
        <v>201</v>
      </c>
      <c r="V42" s="46" t="s">
        <v>166</v>
      </c>
      <c r="W42" s="39" t="str">
        <f t="shared" si="4"/>
        <v>2025_BG_Sc_13C_C4Rhiz</v>
      </c>
      <c r="Y42" s="45" t="s">
        <v>160</v>
      </c>
      <c r="Z42" s="45" t="s">
        <v>161</v>
      </c>
      <c r="AA42" s="45" t="s">
        <v>208</v>
      </c>
      <c r="AB42" s="45" t="s">
        <v>239</v>
      </c>
      <c r="AC42" s="45" t="s">
        <v>166</v>
      </c>
      <c r="AD42" s="39" t="str">
        <f t="shared" ref="AD42:AD48" si="14">_xlfn.CONCAT(Y42:AC42)</f>
        <v>2025_BG_2M_Ch13_C4Rhiz</v>
      </c>
      <c r="AF42" s="57" t="s">
        <v>160</v>
      </c>
      <c r="AG42" s="57" t="s">
        <v>161</v>
      </c>
      <c r="AH42" s="57" t="s">
        <v>210</v>
      </c>
      <c r="AI42" s="57" t="s">
        <v>219</v>
      </c>
      <c r="AJ42" s="57" t="s">
        <v>215</v>
      </c>
      <c r="AK42" s="57" t="s">
        <v>166</v>
      </c>
      <c r="AL42" s="57" t="str">
        <f t="shared" si="12"/>
        <v>2025_BG_Phrag_P5_4-6_C4Rhiz</v>
      </c>
      <c r="AM42" s="51"/>
      <c r="AN42" s="52" t="s">
        <v>160</v>
      </c>
      <c r="AO42" s="52" t="s">
        <v>161</v>
      </c>
      <c r="AP42" s="52" t="s">
        <v>320</v>
      </c>
      <c r="AQ42" s="52" t="s">
        <v>330</v>
      </c>
      <c r="AR42" s="52" t="s">
        <v>215</v>
      </c>
      <c r="AS42" s="52" t="s">
        <v>166</v>
      </c>
      <c r="AT42" s="52" t="str">
        <f t="shared" si="13"/>
        <v>2025_BG_SMARTX_461_4-6_C4Rhiz</v>
      </c>
      <c r="AV42" s="52" t="s">
        <v>160</v>
      </c>
      <c r="AW42" s="52" t="s">
        <v>161</v>
      </c>
      <c r="AX42" s="52" t="s">
        <v>320</v>
      </c>
      <c r="AY42" s="52" t="s">
        <v>344</v>
      </c>
      <c r="AZ42" s="52" t="s">
        <v>215</v>
      </c>
      <c r="BA42" s="52" t="s">
        <v>166</v>
      </c>
      <c r="BB42" s="52" t="str">
        <f t="shared" si="1"/>
        <v>2025_BG_SMARTX_331_4-6_C4Rhiz</v>
      </c>
    </row>
    <row r="43" spans="2:54" x14ac:dyDescent="0.2">
      <c r="B43" s="39" t="s">
        <v>160</v>
      </c>
      <c r="C43" s="39" t="s">
        <v>161</v>
      </c>
      <c r="D43" s="39" t="s">
        <v>162</v>
      </c>
      <c r="E43" s="39" t="s">
        <v>184</v>
      </c>
      <c r="F43" s="39" t="s">
        <v>164</v>
      </c>
      <c r="G43" s="39" t="str">
        <f t="shared" si="9"/>
        <v>2025_BG_Sp_14E_FineRoots</v>
      </c>
      <c r="J43" s="39" t="s">
        <v>160</v>
      </c>
      <c r="K43" s="39" t="s">
        <v>161</v>
      </c>
      <c r="L43" s="39" t="s">
        <v>186</v>
      </c>
      <c r="M43" s="39" t="s">
        <v>193</v>
      </c>
      <c r="N43" s="39" t="s">
        <v>164</v>
      </c>
      <c r="O43" s="39" t="str">
        <f t="shared" si="3"/>
        <v>2025_BG_Mx_14C_FineRoots</v>
      </c>
      <c r="R43" s="39" t="s">
        <v>160</v>
      </c>
      <c r="S43" s="39" t="s">
        <v>161</v>
      </c>
      <c r="T43" s="39" t="s">
        <v>195</v>
      </c>
      <c r="U43" s="39" t="s">
        <v>184</v>
      </c>
      <c r="V43" s="39" t="s">
        <v>164</v>
      </c>
      <c r="W43" s="39" t="str">
        <f t="shared" si="4"/>
        <v>2025_BG_Sc_14E_FineRoots</v>
      </c>
      <c r="Y43" s="52" t="s">
        <v>160</v>
      </c>
      <c r="Z43" s="52" t="s">
        <v>161</v>
      </c>
      <c r="AA43" s="52" t="s">
        <v>208</v>
      </c>
      <c r="AB43" s="52" t="s">
        <v>240</v>
      </c>
      <c r="AC43" s="52" t="s">
        <v>164</v>
      </c>
      <c r="AD43" s="39" t="str">
        <f t="shared" si="14"/>
        <v>2025_BG_2M_Ch14_FineRoots</v>
      </c>
      <c r="AF43" s="57" t="s">
        <v>160</v>
      </c>
      <c r="AG43" s="57" t="s">
        <v>161</v>
      </c>
      <c r="AH43" s="57" t="s">
        <v>210</v>
      </c>
      <c r="AI43" s="57" t="s">
        <v>219</v>
      </c>
      <c r="AJ43" s="57" t="s">
        <v>215</v>
      </c>
      <c r="AK43" s="57" t="s">
        <v>209</v>
      </c>
      <c r="AL43" s="57" t="str">
        <f t="shared" si="12"/>
        <v>2025_BG_Phrag_P5_4-6_PhragRhiz</v>
      </c>
      <c r="AM43" s="51"/>
      <c r="AN43" s="52" t="s">
        <v>160</v>
      </c>
      <c r="AO43" s="52" t="s">
        <v>161</v>
      </c>
      <c r="AP43" s="52" t="s">
        <v>320</v>
      </c>
      <c r="AQ43" s="52" t="s">
        <v>330</v>
      </c>
      <c r="AR43" s="52" t="s">
        <v>215</v>
      </c>
      <c r="AS43" s="52" t="s">
        <v>333</v>
      </c>
      <c r="AT43" s="52" t="str">
        <f t="shared" si="13"/>
        <v>2025_BG_SMARTX_461_4-6_OtherRhiz</v>
      </c>
      <c r="AV43" s="52" t="s">
        <v>160</v>
      </c>
      <c r="AW43" s="52" t="s">
        <v>161</v>
      </c>
      <c r="AX43" s="52" t="s">
        <v>320</v>
      </c>
      <c r="AY43" s="52" t="s">
        <v>344</v>
      </c>
      <c r="AZ43" s="52" t="s">
        <v>215</v>
      </c>
      <c r="BA43" s="52" t="s">
        <v>333</v>
      </c>
      <c r="BB43" s="52" t="str">
        <f t="shared" si="1"/>
        <v>2025_BG_SMARTX_331_4-6_OtherRhiz</v>
      </c>
    </row>
    <row r="44" spans="2:54" x14ac:dyDescent="0.2">
      <c r="B44" s="39" t="s">
        <v>160</v>
      </c>
      <c r="C44" s="39" t="s">
        <v>161</v>
      </c>
      <c r="D44" s="39" t="s">
        <v>162</v>
      </c>
      <c r="E44" s="39" t="s">
        <v>184</v>
      </c>
      <c r="F44" s="44" t="s">
        <v>165</v>
      </c>
      <c r="G44" s="39" t="str">
        <f t="shared" si="9"/>
        <v>2025_BG_Sp_14E_C3Rhiz</v>
      </c>
      <c r="J44" s="39" t="s">
        <v>160</v>
      </c>
      <c r="K44" s="39" t="s">
        <v>161</v>
      </c>
      <c r="L44" s="39" t="s">
        <v>186</v>
      </c>
      <c r="M44" s="39" t="s">
        <v>193</v>
      </c>
      <c r="N44" s="44" t="s">
        <v>165</v>
      </c>
      <c r="O44" s="39" t="str">
        <f t="shared" si="3"/>
        <v>2025_BG_Mx_14C_C3Rhiz</v>
      </c>
      <c r="R44" s="39" t="s">
        <v>160</v>
      </c>
      <c r="S44" s="39" t="s">
        <v>161</v>
      </c>
      <c r="T44" s="39" t="s">
        <v>195</v>
      </c>
      <c r="U44" s="39" t="s">
        <v>184</v>
      </c>
      <c r="V44" s="44" t="s">
        <v>165</v>
      </c>
      <c r="W44" s="39" t="str">
        <f t="shared" si="4"/>
        <v>2025_BG_Sc_14E_C3Rhiz</v>
      </c>
      <c r="Y44" s="52" t="s">
        <v>160</v>
      </c>
      <c r="Z44" s="52" t="s">
        <v>161</v>
      </c>
      <c r="AA44" s="52" t="s">
        <v>208</v>
      </c>
      <c r="AB44" s="52" t="s">
        <v>240</v>
      </c>
      <c r="AC44" s="53" t="s">
        <v>165</v>
      </c>
      <c r="AD44" s="39" t="str">
        <f t="shared" si="14"/>
        <v>2025_BG_2M_Ch14_C3Rhiz</v>
      </c>
      <c r="AF44" s="59" t="s">
        <v>160</v>
      </c>
      <c r="AG44" s="59" t="s">
        <v>161</v>
      </c>
      <c r="AH44" s="59" t="s">
        <v>210</v>
      </c>
      <c r="AI44" s="59" t="s">
        <v>220</v>
      </c>
      <c r="AJ44" s="59" t="s">
        <v>214</v>
      </c>
      <c r="AK44" s="59" t="s">
        <v>164</v>
      </c>
      <c r="AL44" s="59" t="str">
        <f t="shared" si="12"/>
        <v>2025_BG_Phrag_P6_1-3_FineRoots</v>
      </c>
      <c r="AM44" s="51"/>
      <c r="AN44" s="45" t="s">
        <v>160</v>
      </c>
      <c r="AO44" s="45" t="s">
        <v>161</v>
      </c>
      <c r="AP44" s="45" t="s">
        <v>320</v>
      </c>
      <c r="AQ44" s="45" t="s">
        <v>331</v>
      </c>
      <c r="AR44" s="45" t="s">
        <v>215</v>
      </c>
      <c r="AS44" s="45" t="s">
        <v>164</v>
      </c>
      <c r="AT44" s="45" t="str">
        <f t="shared" si="13"/>
        <v>2025_BG_SMARTX_462_4-6_FineRoots</v>
      </c>
      <c r="AV44" s="45" t="s">
        <v>160</v>
      </c>
      <c r="AW44" s="45" t="s">
        <v>161</v>
      </c>
      <c r="AX44" s="45" t="s">
        <v>320</v>
      </c>
      <c r="AY44" s="45" t="s">
        <v>345</v>
      </c>
      <c r="AZ44" s="45" t="s">
        <v>215</v>
      </c>
      <c r="BA44" s="45" t="s">
        <v>164</v>
      </c>
      <c r="BB44" s="45" t="str">
        <f t="shared" si="1"/>
        <v>2025_BG_SMARTX_332_4-6_FineRoots</v>
      </c>
    </row>
    <row r="45" spans="2:54" x14ac:dyDescent="0.2">
      <c r="B45" s="39" t="s">
        <v>160</v>
      </c>
      <c r="C45" s="39" t="s">
        <v>161</v>
      </c>
      <c r="D45" s="39" t="s">
        <v>162</v>
      </c>
      <c r="E45" s="39" t="s">
        <v>184</v>
      </c>
      <c r="F45" s="39" t="s">
        <v>166</v>
      </c>
      <c r="G45" s="39" t="str">
        <f t="shared" si="9"/>
        <v>2025_BG_Sp_14E_C4Rhiz</v>
      </c>
      <c r="J45" s="39" t="s">
        <v>160</v>
      </c>
      <c r="K45" s="39" t="s">
        <v>161</v>
      </c>
      <c r="L45" s="39" t="s">
        <v>186</v>
      </c>
      <c r="M45" s="39" t="s">
        <v>193</v>
      </c>
      <c r="N45" s="39" t="s">
        <v>166</v>
      </c>
      <c r="O45" s="39" t="str">
        <f t="shared" si="3"/>
        <v>2025_BG_Mx_14C_C4Rhiz</v>
      </c>
      <c r="R45" s="39" t="s">
        <v>160</v>
      </c>
      <c r="S45" s="39" t="s">
        <v>161</v>
      </c>
      <c r="T45" s="39" t="s">
        <v>195</v>
      </c>
      <c r="U45" s="39" t="s">
        <v>184</v>
      </c>
      <c r="V45" s="39" t="s">
        <v>166</v>
      </c>
      <c r="W45" s="39" t="str">
        <f t="shared" si="4"/>
        <v>2025_BG_Sc_14E_C4Rhiz</v>
      </c>
      <c r="Y45" s="52" t="s">
        <v>160</v>
      </c>
      <c r="Z45" s="52" t="s">
        <v>161</v>
      </c>
      <c r="AA45" s="52" t="s">
        <v>208</v>
      </c>
      <c r="AB45" s="52" t="s">
        <v>240</v>
      </c>
      <c r="AC45" s="52" t="s">
        <v>166</v>
      </c>
      <c r="AD45" s="39" t="str">
        <f t="shared" si="14"/>
        <v>2025_BG_2M_Ch14_C4Rhiz</v>
      </c>
      <c r="AF45" s="59" t="s">
        <v>160</v>
      </c>
      <c r="AG45" s="59" t="s">
        <v>161</v>
      </c>
      <c r="AH45" s="59" t="s">
        <v>210</v>
      </c>
      <c r="AI45" s="59" t="s">
        <v>220</v>
      </c>
      <c r="AJ45" s="59" t="s">
        <v>214</v>
      </c>
      <c r="AK45" s="60" t="s">
        <v>165</v>
      </c>
      <c r="AL45" s="60" t="str">
        <f t="shared" si="12"/>
        <v>2025_BG_Phrag_P6_1-3_C3Rhiz</v>
      </c>
      <c r="AM45" s="51"/>
      <c r="AN45" s="45" t="s">
        <v>160</v>
      </c>
      <c r="AO45" s="45" t="s">
        <v>161</v>
      </c>
      <c r="AP45" s="45" t="s">
        <v>320</v>
      </c>
      <c r="AQ45" s="45" t="s">
        <v>331</v>
      </c>
      <c r="AR45" s="45" t="s">
        <v>215</v>
      </c>
      <c r="AS45" s="46" t="s">
        <v>165</v>
      </c>
      <c r="AT45" s="46" t="str">
        <f t="shared" si="13"/>
        <v>2025_BG_SMARTX_462_4-6_C3Rhiz</v>
      </c>
      <c r="AV45" s="45" t="s">
        <v>160</v>
      </c>
      <c r="AW45" s="45" t="s">
        <v>161</v>
      </c>
      <c r="AX45" s="45" t="s">
        <v>320</v>
      </c>
      <c r="AY45" s="45" t="s">
        <v>345</v>
      </c>
      <c r="AZ45" s="45" t="s">
        <v>215</v>
      </c>
      <c r="BA45" s="46" t="s">
        <v>165</v>
      </c>
      <c r="BB45" s="46" t="str">
        <f t="shared" si="1"/>
        <v>2025_BG_SMARTX_332_4-6_C3Rhiz</v>
      </c>
    </row>
    <row r="46" spans="2:54" x14ac:dyDescent="0.2">
      <c r="B46" s="45" t="s">
        <v>160</v>
      </c>
      <c r="C46" s="45" t="s">
        <v>161</v>
      </c>
      <c r="D46" s="45" t="s">
        <v>162</v>
      </c>
      <c r="E46" s="45" t="s">
        <v>185</v>
      </c>
      <c r="F46" s="45" t="s">
        <v>164</v>
      </c>
      <c r="G46" s="39" t="str">
        <f t="shared" si="9"/>
        <v>2025_BG_Sp_15C_FineRoots</v>
      </c>
      <c r="J46" s="45" t="s">
        <v>160</v>
      </c>
      <c r="K46" s="45" t="s">
        <v>161</v>
      </c>
      <c r="L46" s="45" t="s">
        <v>186</v>
      </c>
      <c r="M46" s="45" t="s">
        <v>194</v>
      </c>
      <c r="N46" s="45" t="s">
        <v>164</v>
      </c>
      <c r="O46" s="39" t="str">
        <f t="shared" si="3"/>
        <v>2025_BG_Mx_15A_FineRoots</v>
      </c>
      <c r="R46" s="45" t="s">
        <v>160</v>
      </c>
      <c r="S46" s="45" t="s">
        <v>161</v>
      </c>
      <c r="T46" s="45" t="s">
        <v>195</v>
      </c>
      <c r="U46" s="45" t="s">
        <v>194</v>
      </c>
      <c r="V46" s="45" t="s">
        <v>164</v>
      </c>
      <c r="W46" s="39" t="str">
        <f t="shared" si="4"/>
        <v>2025_BG_Sc_15A_FineRoots</v>
      </c>
      <c r="Y46" s="45" t="s">
        <v>160</v>
      </c>
      <c r="Z46" s="45" t="s">
        <v>161</v>
      </c>
      <c r="AA46" s="45" t="s">
        <v>208</v>
      </c>
      <c r="AB46" s="45" t="s">
        <v>241</v>
      </c>
      <c r="AC46" s="45" t="s">
        <v>164</v>
      </c>
      <c r="AD46" s="39" t="str">
        <f t="shared" si="14"/>
        <v>2025_BG_2M_Ch15_FineRoots</v>
      </c>
      <c r="AF46" s="59" t="s">
        <v>160</v>
      </c>
      <c r="AG46" s="59" t="s">
        <v>161</v>
      </c>
      <c r="AH46" s="59" t="s">
        <v>210</v>
      </c>
      <c r="AI46" s="59" t="s">
        <v>220</v>
      </c>
      <c r="AJ46" s="59" t="s">
        <v>214</v>
      </c>
      <c r="AK46" s="59" t="s">
        <v>166</v>
      </c>
      <c r="AL46" s="59" t="str">
        <f t="shared" si="12"/>
        <v>2025_BG_Phrag_P6_1-3_C4Rhiz</v>
      </c>
      <c r="AM46" s="51"/>
      <c r="AN46" s="45" t="s">
        <v>160</v>
      </c>
      <c r="AO46" s="45" t="s">
        <v>161</v>
      </c>
      <c r="AP46" s="45" t="s">
        <v>320</v>
      </c>
      <c r="AQ46" s="45" t="s">
        <v>331</v>
      </c>
      <c r="AR46" s="45" t="s">
        <v>215</v>
      </c>
      <c r="AS46" s="45" t="s">
        <v>166</v>
      </c>
      <c r="AT46" s="45" t="str">
        <f t="shared" si="13"/>
        <v>2025_BG_SMARTX_462_4-6_C4Rhiz</v>
      </c>
      <c r="AV46" s="45" t="s">
        <v>160</v>
      </c>
      <c r="AW46" s="45" t="s">
        <v>161</v>
      </c>
      <c r="AX46" s="45" t="s">
        <v>320</v>
      </c>
      <c r="AY46" s="45" t="s">
        <v>345</v>
      </c>
      <c r="AZ46" s="45" t="s">
        <v>215</v>
      </c>
      <c r="BA46" s="45" t="s">
        <v>166</v>
      </c>
      <c r="BB46" s="45" t="str">
        <f t="shared" si="1"/>
        <v>2025_BG_SMARTX_332_4-6_C4Rhiz</v>
      </c>
    </row>
    <row r="47" spans="2:54" x14ac:dyDescent="0.2">
      <c r="B47" s="45" t="s">
        <v>160</v>
      </c>
      <c r="C47" s="45" t="s">
        <v>161</v>
      </c>
      <c r="D47" s="45" t="s">
        <v>162</v>
      </c>
      <c r="E47" s="45" t="s">
        <v>185</v>
      </c>
      <c r="F47" s="45" t="s">
        <v>165</v>
      </c>
      <c r="G47" s="39" t="str">
        <f t="shared" si="9"/>
        <v>2025_BG_Sp_15C_C3Rhiz</v>
      </c>
      <c r="J47" s="45" t="s">
        <v>160</v>
      </c>
      <c r="K47" s="45" t="s">
        <v>161</v>
      </c>
      <c r="L47" s="45" t="s">
        <v>186</v>
      </c>
      <c r="M47" s="45" t="s">
        <v>194</v>
      </c>
      <c r="N47" s="45" t="s">
        <v>165</v>
      </c>
      <c r="O47" s="39" t="str">
        <f t="shared" si="3"/>
        <v>2025_BG_Mx_15A_C3Rhiz</v>
      </c>
      <c r="R47" s="45" t="s">
        <v>160</v>
      </c>
      <c r="S47" s="45" t="s">
        <v>161</v>
      </c>
      <c r="T47" s="45" t="s">
        <v>195</v>
      </c>
      <c r="U47" s="45" t="s">
        <v>194</v>
      </c>
      <c r="V47" s="45" t="s">
        <v>165</v>
      </c>
      <c r="W47" s="39" t="str">
        <f t="shared" si="4"/>
        <v>2025_BG_Sc_15A_C3Rhiz</v>
      </c>
      <c r="Y47" s="45" t="s">
        <v>160</v>
      </c>
      <c r="Z47" s="45" t="s">
        <v>161</v>
      </c>
      <c r="AA47" s="45" t="s">
        <v>208</v>
      </c>
      <c r="AB47" s="45" t="s">
        <v>241</v>
      </c>
      <c r="AC47" s="45" t="s">
        <v>165</v>
      </c>
      <c r="AD47" s="39" t="str">
        <f t="shared" si="14"/>
        <v>2025_BG_2M_Ch15_C3Rhiz</v>
      </c>
      <c r="AF47" s="59" t="s">
        <v>160</v>
      </c>
      <c r="AG47" s="59" t="s">
        <v>161</v>
      </c>
      <c r="AH47" s="59" t="s">
        <v>210</v>
      </c>
      <c r="AI47" s="59" t="s">
        <v>220</v>
      </c>
      <c r="AJ47" s="59" t="s">
        <v>214</v>
      </c>
      <c r="AK47" s="59" t="s">
        <v>209</v>
      </c>
      <c r="AL47" s="59" t="str">
        <f t="shared" si="12"/>
        <v>2025_BG_Phrag_P6_1-3_PhragRhiz</v>
      </c>
      <c r="AM47" s="51"/>
      <c r="AN47" s="45" t="s">
        <v>160</v>
      </c>
      <c r="AO47" s="45" t="s">
        <v>161</v>
      </c>
      <c r="AP47" s="45" t="s">
        <v>320</v>
      </c>
      <c r="AQ47" s="45" t="s">
        <v>331</v>
      </c>
      <c r="AR47" s="45" t="s">
        <v>215</v>
      </c>
      <c r="AS47" s="45" t="s">
        <v>333</v>
      </c>
      <c r="AT47" s="45" t="str">
        <f t="shared" si="13"/>
        <v>2025_BG_SMARTX_462_4-6_OtherRhiz</v>
      </c>
      <c r="AV47" s="45" t="s">
        <v>160</v>
      </c>
      <c r="AW47" s="45" t="s">
        <v>161</v>
      </c>
      <c r="AX47" s="45" t="s">
        <v>320</v>
      </c>
      <c r="AY47" s="45" t="s">
        <v>345</v>
      </c>
      <c r="AZ47" s="45" t="s">
        <v>215</v>
      </c>
      <c r="BA47" s="45" t="s">
        <v>333</v>
      </c>
      <c r="BB47" s="45" t="str">
        <f t="shared" si="1"/>
        <v>2025_BG_SMARTX_332_4-6_OtherRhiz</v>
      </c>
    </row>
    <row r="48" spans="2:54" x14ac:dyDescent="0.2">
      <c r="B48" s="45" t="s">
        <v>160</v>
      </c>
      <c r="C48" s="45" t="s">
        <v>161</v>
      </c>
      <c r="D48" s="45" t="s">
        <v>162</v>
      </c>
      <c r="E48" s="45" t="s">
        <v>185</v>
      </c>
      <c r="F48" s="45" t="s">
        <v>166</v>
      </c>
      <c r="G48" s="39" t="str">
        <f t="shared" si="9"/>
        <v>2025_BG_Sp_15C_C4Rhiz</v>
      </c>
      <c r="J48" s="45" t="s">
        <v>160</v>
      </c>
      <c r="K48" s="45" t="s">
        <v>161</v>
      </c>
      <c r="L48" s="45" t="s">
        <v>186</v>
      </c>
      <c r="M48" s="45" t="s">
        <v>194</v>
      </c>
      <c r="N48" s="45" t="s">
        <v>166</v>
      </c>
      <c r="O48" s="39" t="str">
        <f t="shared" si="3"/>
        <v>2025_BG_Mx_15A_C4Rhiz</v>
      </c>
      <c r="R48" s="45" t="s">
        <v>160</v>
      </c>
      <c r="S48" s="45" t="s">
        <v>161</v>
      </c>
      <c r="T48" s="45" t="s">
        <v>195</v>
      </c>
      <c r="U48" s="45" t="s">
        <v>194</v>
      </c>
      <c r="V48" s="45" t="s">
        <v>166</v>
      </c>
      <c r="W48" s="39" t="str">
        <f t="shared" si="4"/>
        <v>2025_BG_Sc_15A_C4Rhiz</v>
      </c>
      <c r="Y48" s="45" t="s">
        <v>160</v>
      </c>
      <c r="Z48" s="45" t="s">
        <v>161</v>
      </c>
      <c r="AA48" s="45" t="s">
        <v>208</v>
      </c>
      <c r="AB48" s="45" t="s">
        <v>241</v>
      </c>
      <c r="AC48" s="45" t="s">
        <v>166</v>
      </c>
      <c r="AD48" s="39" t="str">
        <f t="shared" si="14"/>
        <v>2025_BG_2M_Ch15_C4Rhiz</v>
      </c>
      <c r="AF48" s="61" t="s">
        <v>160</v>
      </c>
      <c r="AG48" s="61" t="s">
        <v>161</v>
      </c>
      <c r="AH48" s="61" t="s">
        <v>210</v>
      </c>
      <c r="AI48" s="61" t="s">
        <v>220</v>
      </c>
      <c r="AJ48" s="61" t="s">
        <v>215</v>
      </c>
      <c r="AK48" s="61" t="s">
        <v>164</v>
      </c>
      <c r="AL48" s="61" t="str">
        <f t="shared" si="12"/>
        <v>2025_BG_Phrag_P6_4-6_FineRoots</v>
      </c>
      <c r="AM48" s="54"/>
      <c r="AN48" s="52" t="s">
        <v>160</v>
      </c>
      <c r="AO48" s="52" t="s">
        <v>161</v>
      </c>
      <c r="AP48" s="52" t="s">
        <v>320</v>
      </c>
      <c r="AQ48" s="52" t="s">
        <v>332</v>
      </c>
      <c r="AR48" s="52" t="s">
        <v>215</v>
      </c>
      <c r="AS48" s="52" t="s">
        <v>164</v>
      </c>
      <c r="AT48" s="52" t="str">
        <f t="shared" si="13"/>
        <v>2025_BG_SMARTX_463_4-6_FineRoots</v>
      </c>
      <c r="AV48" s="52" t="s">
        <v>160</v>
      </c>
      <c r="AW48" s="52" t="s">
        <v>161</v>
      </c>
      <c r="AX48" s="52" t="s">
        <v>320</v>
      </c>
      <c r="AY48" s="52" t="s">
        <v>346</v>
      </c>
      <c r="AZ48" s="52" t="s">
        <v>215</v>
      </c>
      <c r="BA48" s="52" t="s">
        <v>164</v>
      </c>
      <c r="BB48" s="52" t="str">
        <f t="shared" si="1"/>
        <v>2025_BG_SMARTX_333_4-6_FineRoots</v>
      </c>
    </row>
    <row r="49" spans="25:54" x14ac:dyDescent="0.2">
      <c r="Y49" s="52" t="s">
        <v>160</v>
      </c>
      <c r="Z49" s="52" t="s">
        <v>161</v>
      </c>
      <c r="AA49" s="52" t="s">
        <v>208</v>
      </c>
      <c r="AB49" s="52" t="s">
        <v>242</v>
      </c>
      <c r="AC49" s="52" t="s">
        <v>164</v>
      </c>
      <c r="AD49" s="39" t="str">
        <f t="shared" ref="AD49:AD63" si="15">_xlfn.CONCAT(Y49:AC49)</f>
        <v>2025_BG_2M_Ch16_FineRoots</v>
      </c>
      <c r="AF49" s="61" t="s">
        <v>160</v>
      </c>
      <c r="AG49" s="61" t="s">
        <v>161</v>
      </c>
      <c r="AH49" s="61" t="s">
        <v>210</v>
      </c>
      <c r="AI49" s="61" t="s">
        <v>220</v>
      </c>
      <c r="AJ49" s="61" t="s">
        <v>215</v>
      </c>
      <c r="AK49" s="62" t="s">
        <v>165</v>
      </c>
      <c r="AL49" s="62" t="str">
        <f t="shared" si="12"/>
        <v>2025_BG_Phrag_P6_4-6_C3Rhiz</v>
      </c>
      <c r="AM49" s="55"/>
      <c r="AN49" s="52" t="s">
        <v>160</v>
      </c>
      <c r="AO49" s="52" t="s">
        <v>161</v>
      </c>
      <c r="AP49" s="52" t="s">
        <v>320</v>
      </c>
      <c r="AQ49" s="52" t="s">
        <v>332</v>
      </c>
      <c r="AR49" s="52" t="s">
        <v>215</v>
      </c>
      <c r="AS49" s="53" t="s">
        <v>165</v>
      </c>
      <c r="AT49" s="53" t="str">
        <f t="shared" si="13"/>
        <v>2025_BG_SMARTX_463_4-6_C3Rhiz</v>
      </c>
      <c r="AV49" s="52" t="s">
        <v>160</v>
      </c>
      <c r="AW49" s="52" t="s">
        <v>161</v>
      </c>
      <c r="AX49" s="52" t="s">
        <v>320</v>
      </c>
      <c r="AY49" s="52" t="s">
        <v>346</v>
      </c>
      <c r="AZ49" s="52" t="s">
        <v>215</v>
      </c>
      <c r="BA49" s="53" t="s">
        <v>165</v>
      </c>
      <c r="BB49" s="53" t="str">
        <f t="shared" si="1"/>
        <v>2025_BG_SMARTX_333_4-6_C3Rhiz</v>
      </c>
    </row>
    <row r="50" spans="25:54" x14ac:dyDescent="0.2">
      <c r="Y50" s="52" t="s">
        <v>160</v>
      </c>
      <c r="Z50" s="52" t="s">
        <v>161</v>
      </c>
      <c r="AA50" s="52" t="s">
        <v>208</v>
      </c>
      <c r="AB50" s="52" t="s">
        <v>242</v>
      </c>
      <c r="AC50" s="53" t="s">
        <v>165</v>
      </c>
      <c r="AD50" s="39" t="str">
        <f t="shared" si="15"/>
        <v>2025_BG_2M_Ch16_C3Rhiz</v>
      </c>
      <c r="AF50" s="61" t="s">
        <v>160</v>
      </c>
      <c r="AG50" s="61" t="s">
        <v>161</v>
      </c>
      <c r="AH50" s="61" t="s">
        <v>210</v>
      </c>
      <c r="AI50" s="61" t="s">
        <v>220</v>
      </c>
      <c r="AJ50" s="61" t="s">
        <v>215</v>
      </c>
      <c r="AK50" s="61" t="s">
        <v>166</v>
      </c>
      <c r="AL50" s="61" t="str">
        <f t="shared" si="12"/>
        <v>2025_BG_Phrag_P6_4-6_C4Rhiz</v>
      </c>
      <c r="AN50" s="52" t="s">
        <v>160</v>
      </c>
      <c r="AO50" s="52" t="s">
        <v>161</v>
      </c>
      <c r="AP50" s="52" t="s">
        <v>320</v>
      </c>
      <c r="AQ50" s="52" t="s">
        <v>332</v>
      </c>
      <c r="AR50" s="52" t="s">
        <v>215</v>
      </c>
      <c r="AS50" s="52" t="s">
        <v>166</v>
      </c>
      <c r="AT50" s="52" t="str">
        <f t="shared" si="13"/>
        <v>2025_BG_SMARTX_463_4-6_C4Rhiz</v>
      </c>
      <c r="AV50" s="52" t="s">
        <v>160</v>
      </c>
      <c r="AW50" s="52" t="s">
        <v>161</v>
      </c>
      <c r="AX50" s="52" t="s">
        <v>320</v>
      </c>
      <c r="AY50" s="52" t="s">
        <v>346</v>
      </c>
      <c r="AZ50" s="52" t="s">
        <v>215</v>
      </c>
      <c r="BA50" s="52" t="s">
        <v>166</v>
      </c>
      <c r="BB50" s="52" t="str">
        <f t="shared" si="1"/>
        <v>2025_BG_SMARTX_333_4-6_C4Rhiz</v>
      </c>
    </row>
    <row r="51" spans="25:54" x14ac:dyDescent="0.2">
      <c r="Y51" s="52" t="s">
        <v>160</v>
      </c>
      <c r="Z51" s="52" t="s">
        <v>161</v>
      </c>
      <c r="AA51" s="52" t="s">
        <v>208</v>
      </c>
      <c r="AB51" s="52" t="s">
        <v>242</v>
      </c>
      <c r="AC51" s="52" t="s">
        <v>166</v>
      </c>
      <c r="AD51" s="39" t="str">
        <f t="shared" si="15"/>
        <v>2025_BG_2M_Ch16_C4Rhiz</v>
      </c>
      <c r="AF51" s="61" t="s">
        <v>160</v>
      </c>
      <c r="AG51" s="61" t="s">
        <v>161</v>
      </c>
      <c r="AH51" s="61" t="s">
        <v>210</v>
      </c>
      <c r="AI51" s="61" t="s">
        <v>220</v>
      </c>
      <c r="AJ51" s="61" t="s">
        <v>215</v>
      </c>
      <c r="AK51" s="61" t="s">
        <v>209</v>
      </c>
      <c r="AL51" s="61" t="str">
        <f t="shared" si="12"/>
        <v>2025_BG_Phrag_P6_4-6_PhragRhiz</v>
      </c>
      <c r="AN51" s="52" t="s">
        <v>160</v>
      </c>
      <c r="AO51" s="52" t="s">
        <v>161</v>
      </c>
      <c r="AP51" s="52" t="s">
        <v>320</v>
      </c>
      <c r="AQ51" s="52" t="s">
        <v>332</v>
      </c>
      <c r="AR51" s="52" t="s">
        <v>215</v>
      </c>
      <c r="AS51" s="52" t="s">
        <v>333</v>
      </c>
      <c r="AT51" s="52" t="str">
        <f t="shared" si="13"/>
        <v>2025_BG_SMARTX_463_4-6_OtherRhiz</v>
      </c>
      <c r="AV51" s="52" t="s">
        <v>160</v>
      </c>
      <c r="AW51" s="52" t="s">
        <v>161</v>
      </c>
      <c r="AX51" s="52" t="s">
        <v>320</v>
      </c>
      <c r="AY51" s="52" t="s">
        <v>346</v>
      </c>
      <c r="AZ51" s="52" t="s">
        <v>215</v>
      </c>
      <c r="BA51" s="52" t="s">
        <v>333</v>
      </c>
      <c r="BB51" s="52" t="str">
        <f t="shared" si="1"/>
        <v>2025_BG_SMARTX_333_4-6_OtherRhiz</v>
      </c>
    </row>
    <row r="52" spans="25:54" x14ac:dyDescent="0.2">
      <c r="Y52" s="45" t="s">
        <v>160</v>
      </c>
      <c r="Z52" s="45" t="s">
        <v>161</v>
      </c>
      <c r="AA52" s="45" t="s">
        <v>208</v>
      </c>
      <c r="AB52" s="45" t="s">
        <v>243</v>
      </c>
      <c r="AC52" s="45" t="s">
        <v>164</v>
      </c>
      <c r="AD52" s="39" t="str">
        <f t="shared" si="15"/>
        <v>2025_BG_2M_Ch17_FineRoots</v>
      </c>
      <c r="AF52" s="45" t="s">
        <v>160</v>
      </c>
      <c r="AG52" s="45" t="s">
        <v>161</v>
      </c>
      <c r="AH52" s="45" t="s">
        <v>210</v>
      </c>
      <c r="AI52" s="45" t="s">
        <v>221</v>
      </c>
      <c r="AJ52" s="45" t="s">
        <v>214</v>
      </c>
      <c r="AK52" s="45" t="s">
        <v>164</v>
      </c>
      <c r="AL52" s="45" t="str">
        <f t="shared" si="12"/>
        <v>2025_BG_Phrag_P7_1-3_FineRoots</v>
      </c>
      <c r="AN52" s="45" t="s">
        <v>160</v>
      </c>
      <c r="AO52" s="45" t="s">
        <v>161</v>
      </c>
      <c r="AP52" s="45" t="s">
        <v>320</v>
      </c>
      <c r="AQ52" s="45" t="s">
        <v>321</v>
      </c>
      <c r="AR52" s="45" t="s">
        <v>334</v>
      </c>
      <c r="AS52" s="45" t="s">
        <v>164</v>
      </c>
      <c r="AT52" s="45" t="str">
        <f t="shared" si="13"/>
        <v>2025_BG_SMARTX_440_8_FineRoots</v>
      </c>
      <c r="AV52" s="45" t="s">
        <v>160</v>
      </c>
      <c r="AW52" s="45" t="s">
        <v>161</v>
      </c>
      <c r="AX52" s="45" t="s">
        <v>320</v>
      </c>
      <c r="AY52" s="45" t="s">
        <v>347</v>
      </c>
      <c r="AZ52" s="45" t="s">
        <v>215</v>
      </c>
      <c r="BA52" s="45" t="s">
        <v>164</v>
      </c>
      <c r="BB52" s="45" t="str">
        <f t="shared" ref="BB52:BB115" si="16">_xlfn.CONCAT(AV52:BA52)</f>
        <v>2025_BG_SMARTX_610_4-6_FineRoots</v>
      </c>
    </row>
    <row r="53" spans="25:54" x14ac:dyDescent="0.2">
      <c r="Y53" s="45" t="s">
        <v>160</v>
      </c>
      <c r="Z53" s="45" t="s">
        <v>161</v>
      </c>
      <c r="AA53" s="45" t="s">
        <v>208</v>
      </c>
      <c r="AB53" s="45" t="s">
        <v>243</v>
      </c>
      <c r="AC53" s="45" t="s">
        <v>165</v>
      </c>
      <c r="AD53" s="39" t="str">
        <f t="shared" si="15"/>
        <v>2025_BG_2M_Ch17_C3Rhiz</v>
      </c>
      <c r="AF53" s="45" t="s">
        <v>160</v>
      </c>
      <c r="AG53" s="45" t="s">
        <v>161</v>
      </c>
      <c r="AH53" s="45" t="s">
        <v>210</v>
      </c>
      <c r="AI53" s="45" t="s">
        <v>221</v>
      </c>
      <c r="AJ53" s="45" t="s">
        <v>214</v>
      </c>
      <c r="AK53" s="46" t="s">
        <v>165</v>
      </c>
      <c r="AL53" s="46" t="str">
        <f t="shared" si="12"/>
        <v>2025_BG_Phrag_P7_1-3_C3Rhiz</v>
      </c>
      <c r="AN53" s="45" t="s">
        <v>160</v>
      </c>
      <c r="AO53" s="45" t="s">
        <v>161</v>
      </c>
      <c r="AP53" s="45" t="s">
        <v>320</v>
      </c>
      <c r="AQ53" s="45" t="s">
        <v>321</v>
      </c>
      <c r="AR53" s="45" t="s">
        <v>334</v>
      </c>
      <c r="AS53" s="46" t="s">
        <v>165</v>
      </c>
      <c r="AT53" s="46" t="str">
        <f t="shared" si="13"/>
        <v>2025_BG_SMARTX_440_8_C3Rhiz</v>
      </c>
      <c r="AV53" s="45" t="s">
        <v>160</v>
      </c>
      <c r="AW53" s="45" t="s">
        <v>161</v>
      </c>
      <c r="AX53" s="45" t="s">
        <v>320</v>
      </c>
      <c r="AY53" s="45" t="s">
        <v>347</v>
      </c>
      <c r="AZ53" s="45" t="s">
        <v>215</v>
      </c>
      <c r="BA53" s="46" t="s">
        <v>165</v>
      </c>
      <c r="BB53" s="46" t="str">
        <f t="shared" si="16"/>
        <v>2025_BG_SMARTX_610_4-6_C3Rhiz</v>
      </c>
    </row>
    <row r="54" spans="25:54" x14ac:dyDescent="0.2">
      <c r="Y54" s="45" t="s">
        <v>160</v>
      </c>
      <c r="Z54" s="45" t="s">
        <v>161</v>
      </c>
      <c r="AA54" s="45" t="s">
        <v>208</v>
      </c>
      <c r="AB54" s="45" t="s">
        <v>243</v>
      </c>
      <c r="AC54" s="45" t="s">
        <v>166</v>
      </c>
      <c r="AD54" s="39" t="str">
        <f t="shared" si="15"/>
        <v>2025_BG_2M_Ch17_C4Rhiz</v>
      </c>
      <c r="AF54" s="45" t="s">
        <v>160</v>
      </c>
      <c r="AG54" s="45" t="s">
        <v>161</v>
      </c>
      <c r="AH54" s="45" t="s">
        <v>210</v>
      </c>
      <c r="AI54" s="45" t="s">
        <v>221</v>
      </c>
      <c r="AJ54" s="45" t="s">
        <v>214</v>
      </c>
      <c r="AK54" s="45" t="s">
        <v>166</v>
      </c>
      <c r="AL54" s="45" t="str">
        <f t="shared" si="12"/>
        <v>2025_BG_Phrag_P7_1-3_C4Rhiz</v>
      </c>
      <c r="AN54" s="45" t="s">
        <v>160</v>
      </c>
      <c r="AO54" s="45" t="s">
        <v>161</v>
      </c>
      <c r="AP54" s="45" t="s">
        <v>320</v>
      </c>
      <c r="AQ54" s="45" t="s">
        <v>321</v>
      </c>
      <c r="AR54" s="45" t="s">
        <v>334</v>
      </c>
      <c r="AS54" s="45" t="s">
        <v>166</v>
      </c>
      <c r="AT54" s="45" t="str">
        <f t="shared" si="13"/>
        <v>2025_BG_SMARTX_440_8_C4Rhiz</v>
      </c>
      <c r="AV54" s="45" t="s">
        <v>160</v>
      </c>
      <c r="AW54" s="45" t="s">
        <v>161</v>
      </c>
      <c r="AX54" s="45" t="s">
        <v>320</v>
      </c>
      <c r="AY54" s="45" t="s">
        <v>347</v>
      </c>
      <c r="AZ54" s="45" t="s">
        <v>215</v>
      </c>
      <c r="BA54" s="45" t="s">
        <v>166</v>
      </c>
      <c r="BB54" s="45" t="str">
        <f t="shared" si="16"/>
        <v>2025_BG_SMARTX_610_4-6_C4Rhiz</v>
      </c>
    </row>
    <row r="55" spans="25:54" x14ac:dyDescent="0.2">
      <c r="Y55" s="52" t="s">
        <v>160</v>
      </c>
      <c r="Z55" s="52" t="s">
        <v>161</v>
      </c>
      <c r="AA55" s="52" t="s">
        <v>208</v>
      </c>
      <c r="AB55" s="52" t="s">
        <v>244</v>
      </c>
      <c r="AC55" s="52" t="s">
        <v>164</v>
      </c>
      <c r="AD55" s="39" t="str">
        <f t="shared" si="15"/>
        <v>2025_BG_2M_Ch18_FineRoots</v>
      </c>
      <c r="AF55" s="45" t="s">
        <v>160</v>
      </c>
      <c r="AG55" s="45" t="s">
        <v>161</v>
      </c>
      <c r="AH55" s="45" t="s">
        <v>210</v>
      </c>
      <c r="AI55" s="45" t="s">
        <v>221</v>
      </c>
      <c r="AJ55" s="45" t="s">
        <v>214</v>
      </c>
      <c r="AK55" s="45" t="s">
        <v>209</v>
      </c>
      <c r="AL55" s="45" t="str">
        <f t="shared" si="12"/>
        <v>2025_BG_Phrag_P7_1-3_PhragRhiz</v>
      </c>
      <c r="AN55" s="45" t="s">
        <v>160</v>
      </c>
      <c r="AO55" s="45" t="s">
        <v>161</v>
      </c>
      <c r="AP55" s="45" t="s">
        <v>320</v>
      </c>
      <c r="AQ55" s="45" t="s">
        <v>321</v>
      </c>
      <c r="AR55" s="45" t="s">
        <v>334</v>
      </c>
      <c r="AS55" s="45" t="s">
        <v>333</v>
      </c>
      <c r="AT55" s="45" t="str">
        <f t="shared" si="13"/>
        <v>2025_BG_SMARTX_440_8_OtherRhiz</v>
      </c>
      <c r="AV55" s="45" t="s">
        <v>160</v>
      </c>
      <c r="AW55" s="45" t="s">
        <v>161</v>
      </c>
      <c r="AX55" s="45" t="s">
        <v>320</v>
      </c>
      <c r="AY55" s="45" t="s">
        <v>347</v>
      </c>
      <c r="AZ55" s="45" t="s">
        <v>215</v>
      </c>
      <c r="BA55" s="45" t="s">
        <v>333</v>
      </c>
      <c r="BB55" s="45" t="str">
        <f t="shared" si="16"/>
        <v>2025_BG_SMARTX_610_4-6_OtherRhiz</v>
      </c>
    </row>
    <row r="56" spans="25:54" x14ac:dyDescent="0.2">
      <c r="Y56" s="52" t="s">
        <v>160</v>
      </c>
      <c r="Z56" s="52" t="s">
        <v>161</v>
      </c>
      <c r="AA56" s="52" t="s">
        <v>208</v>
      </c>
      <c r="AB56" s="52" t="s">
        <v>244</v>
      </c>
      <c r="AC56" s="53" t="s">
        <v>165</v>
      </c>
      <c r="AD56" s="39" t="str">
        <f t="shared" si="15"/>
        <v>2025_BG_2M_Ch18_C3Rhiz</v>
      </c>
      <c r="AF56" s="57" t="s">
        <v>160</v>
      </c>
      <c r="AG56" s="57" t="s">
        <v>161</v>
      </c>
      <c r="AH56" s="57" t="s">
        <v>210</v>
      </c>
      <c r="AI56" s="57" t="s">
        <v>221</v>
      </c>
      <c r="AJ56" s="57" t="s">
        <v>215</v>
      </c>
      <c r="AK56" s="57" t="s">
        <v>164</v>
      </c>
      <c r="AL56" s="57" t="str">
        <f t="shared" si="12"/>
        <v>2025_BG_Phrag_P7_4-6_FineRoots</v>
      </c>
      <c r="AN56" s="52" t="s">
        <v>160</v>
      </c>
      <c r="AO56" s="52" t="s">
        <v>161</v>
      </c>
      <c r="AP56" s="52" t="s">
        <v>320</v>
      </c>
      <c r="AQ56" s="52" t="s">
        <v>322</v>
      </c>
      <c r="AR56" s="52" t="s">
        <v>334</v>
      </c>
      <c r="AS56" s="52" t="s">
        <v>164</v>
      </c>
      <c r="AT56" s="52" t="str">
        <f t="shared" si="13"/>
        <v>2025_BG_SMARTX_441_8_FineRoots</v>
      </c>
      <c r="AV56" s="52" t="s">
        <v>160</v>
      </c>
      <c r="AW56" s="52" t="s">
        <v>161</v>
      </c>
      <c r="AX56" s="52" t="s">
        <v>320</v>
      </c>
      <c r="AY56" s="52" t="s">
        <v>348</v>
      </c>
      <c r="AZ56" s="52" t="s">
        <v>215</v>
      </c>
      <c r="BA56" s="52" t="s">
        <v>164</v>
      </c>
      <c r="BB56" s="52" t="str">
        <f t="shared" si="16"/>
        <v>2025_BG_SMARTX_613_4-6_FineRoots</v>
      </c>
    </row>
    <row r="57" spans="25:54" x14ac:dyDescent="0.2">
      <c r="Y57" s="52" t="s">
        <v>160</v>
      </c>
      <c r="Z57" s="52" t="s">
        <v>161</v>
      </c>
      <c r="AA57" s="52" t="s">
        <v>208</v>
      </c>
      <c r="AB57" s="52" t="s">
        <v>244</v>
      </c>
      <c r="AC57" s="52" t="s">
        <v>166</v>
      </c>
      <c r="AD57" s="39" t="str">
        <f t="shared" si="15"/>
        <v>2025_BG_2M_Ch18_C4Rhiz</v>
      </c>
      <c r="AF57" s="57" t="s">
        <v>160</v>
      </c>
      <c r="AG57" s="57" t="s">
        <v>161</v>
      </c>
      <c r="AH57" s="57" t="s">
        <v>210</v>
      </c>
      <c r="AI57" s="57" t="s">
        <v>221</v>
      </c>
      <c r="AJ57" s="57" t="s">
        <v>215</v>
      </c>
      <c r="AK57" s="58" t="s">
        <v>165</v>
      </c>
      <c r="AL57" s="58" t="str">
        <f t="shared" si="12"/>
        <v>2025_BG_Phrag_P7_4-6_C3Rhiz</v>
      </c>
      <c r="AN57" s="52" t="s">
        <v>160</v>
      </c>
      <c r="AO57" s="52" t="s">
        <v>161</v>
      </c>
      <c r="AP57" s="52" t="s">
        <v>320</v>
      </c>
      <c r="AQ57" s="52" t="s">
        <v>322</v>
      </c>
      <c r="AR57" s="52" t="s">
        <v>334</v>
      </c>
      <c r="AS57" s="53" t="s">
        <v>165</v>
      </c>
      <c r="AT57" s="53" t="str">
        <f t="shared" si="13"/>
        <v>2025_BG_SMARTX_441_8_C3Rhiz</v>
      </c>
      <c r="AV57" s="52" t="s">
        <v>160</v>
      </c>
      <c r="AW57" s="52" t="s">
        <v>161</v>
      </c>
      <c r="AX57" s="52" t="s">
        <v>320</v>
      </c>
      <c r="AY57" s="52" t="s">
        <v>348</v>
      </c>
      <c r="AZ57" s="52" t="s">
        <v>215</v>
      </c>
      <c r="BA57" s="53" t="s">
        <v>165</v>
      </c>
      <c r="BB57" s="53" t="str">
        <f t="shared" si="16"/>
        <v>2025_BG_SMARTX_613_4-6_C3Rhiz</v>
      </c>
    </row>
    <row r="58" spans="25:54" x14ac:dyDescent="0.2">
      <c r="Y58" s="45" t="s">
        <v>160</v>
      </c>
      <c r="Z58" s="45" t="s">
        <v>161</v>
      </c>
      <c r="AA58" s="45" t="s">
        <v>208</v>
      </c>
      <c r="AB58" s="45" t="s">
        <v>245</v>
      </c>
      <c r="AC58" s="45" t="s">
        <v>164</v>
      </c>
      <c r="AD58" s="39" t="str">
        <f t="shared" si="15"/>
        <v>2025_BG_2M_Ch19_FineRoots</v>
      </c>
      <c r="AF58" s="57" t="s">
        <v>160</v>
      </c>
      <c r="AG58" s="57" t="s">
        <v>161</v>
      </c>
      <c r="AH58" s="57" t="s">
        <v>210</v>
      </c>
      <c r="AI58" s="57" t="s">
        <v>221</v>
      </c>
      <c r="AJ58" s="57" t="s">
        <v>215</v>
      </c>
      <c r="AK58" s="57" t="s">
        <v>166</v>
      </c>
      <c r="AL58" s="57" t="str">
        <f t="shared" si="12"/>
        <v>2025_BG_Phrag_P7_4-6_C4Rhiz</v>
      </c>
      <c r="AN58" s="52" t="s">
        <v>160</v>
      </c>
      <c r="AO58" s="52" t="s">
        <v>161</v>
      </c>
      <c r="AP58" s="52" t="s">
        <v>320</v>
      </c>
      <c r="AQ58" s="52" t="s">
        <v>322</v>
      </c>
      <c r="AR58" s="52" t="s">
        <v>334</v>
      </c>
      <c r="AS58" s="52" t="s">
        <v>166</v>
      </c>
      <c r="AT58" s="52" t="str">
        <f t="shared" si="13"/>
        <v>2025_BG_SMARTX_441_8_C4Rhiz</v>
      </c>
      <c r="AV58" s="52" t="s">
        <v>160</v>
      </c>
      <c r="AW58" s="52" t="s">
        <v>161</v>
      </c>
      <c r="AX58" s="52" t="s">
        <v>320</v>
      </c>
      <c r="AY58" s="52" t="s">
        <v>348</v>
      </c>
      <c r="AZ58" s="52" t="s">
        <v>215</v>
      </c>
      <c r="BA58" s="52" t="s">
        <v>166</v>
      </c>
      <c r="BB58" s="52" t="str">
        <f t="shared" si="16"/>
        <v>2025_BG_SMARTX_613_4-6_C4Rhiz</v>
      </c>
    </row>
    <row r="59" spans="25:54" x14ac:dyDescent="0.2">
      <c r="Y59" s="45" t="s">
        <v>160</v>
      </c>
      <c r="Z59" s="45" t="s">
        <v>161</v>
      </c>
      <c r="AA59" s="45" t="s">
        <v>208</v>
      </c>
      <c r="AB59" s="45" t="s">
        <v>245</v>
      </c>
      <c r="AC59" s="45" t="s">
        <v>165</v>
      </c>
      <c r="AD59" s="39" t="str">
        <f t="shared" si="15"/>
        <v>2025_BG_2M_Ch19_C3Rhiz</v>
      </c>
      <c r="AF59" s="57" t="s">
        <v>160</v>
      </c>
      <c r="AG59" s="57" t="s">
        <v>161</v>
      </c>
      <c r="AH59" s="57" t="s">
        <v>210</v>
      </c>
      <c r="AI59" s="57" t="s">
        <v>221</v>
      </c>
      <c r="AJ59" s="57" t="s">
        <v>215</v>
      </c>
      <c r="AK59" s="57" t="s">
        <v>209</v>
      </c>
      <c r="AL59" s="57" t="str">
        <f t="shared" si="12"/>
        <v>2025_BG_Phrag_P7_4-6_PhragRhiz</v>
      </c>
      <c r="AN59" s="52" t="s">
        <v>160</v>
      </c>
      <c r="AO59" s="52" t="s">
        <v>161</v>
      </c>
      <c r="AP59" s="52" t="s">
        <v>320</v>
      </c>
      <c r="AQ59" s="52" t="s">
        <v>322</v>
      </c>
      <c r="AR59" s="52" t="s">
        <v>334</v>
      </c>
      <c r="AS59" s="52" t="s">
        <v>333</v>
      </c>
      <c r="AT59" s="52" t="str">
        <f t="shared" si="13"/>
        <v>2025_BG_SMARTX_441_8_OtherRhiz</v>
      </c>
      <c r="AV59" s="52" t="s">
        <v>160</v>
      </c>
      <c r="AW59" s="52" t="s">
        <v>161</v>
      </c>
      <c r="AX59" s="52" t="s">
        <v>320</v>
      </c>
      <c r="AY59" s="52" t="s">
        <v>348</v>
      </c>
      <c r="AZ59" s="52" t="s">
        <v>215</v>
      </c>
      <c r="BA59" s="52" t="s">
        <v>333</v>
      </c>
      <c r="BB59" s="52" t="str">
        <f t="shared" si="16"/>
        <v>2025_BG_SMARTX_613_4-6_OtherRhiz</v>
      </c>
    </row>
    <row r="60" spans="25:54" x14ac:dyDescent="0.2">
      <c r="Y60" s="45" t="s">
        <v>160</v>
      </c>
      <c r="Z60" s="45" t="s">
        <v>161</v>
      </c>
      <c r="AA60" s="45" t="s">
        <v>208</v>
      </c>
      <c r="AB60" s="45" t="s">
        <v>245</v>
      </c>
      <c r="AC60" s="45" t="s">
        <v>166</v>
      </c>
      <c r="AD60" s="39" t="str">
        <f t="shared" si="15"/>
        <v>2025_BG_2M_Ch19_C4Rhiz</v>
      </c>
      <c r="AF60" s="59" t="s">
        <v>160</v>
      </c>
      <c r="AG60" s="59" t="s">
        <v>161</v>
      </c>
      <c r="AH60" s="59" t="s">
        <v>210</v>
      </c>
      <c r="AI60" s="59" t="s">
        <v>222</v>
      </c>
      <c r="AJ60" s="59" t="s">
        <v>214</v>
      </c>
      <c r="AK60" s="59" t="s">
        <v>164</v>
      </c>
      <c r="AL60" s="59" t="str">
        <f t="shared" si="12"/>
        <v>2025_BG_Phrag_P8_1-3_FineRoots</v>
      </c>
      <c r="AN60" s="45" t="s">
        <v>160</v>
      </c>
      <c r="AO60" s="45" t="s">
        <v>161</v>
      </c>
      <c r="AP60" s="45" t="s">
        <v>320</v>
      </c>
      <c r="AQ60" s="45" t="s">
        <v>323</v>
      </c>
      <c r="AR60" s="45" t="s">
        <v>334</v>
      </c>
      <c r="AS60" s="45" t="s">
        <v>164</v>
      </c>
      <c r="AT60" s="45" t="str">
        <f t="shared" si="13"/>
        <v>2025_BG_SMARTX_442_8_FineRoots</v>
      </c>
      <c r="AV60" s="45" t="s">
        <v>160</v>
      </c>
      <c r="AW60" s="45" t="s">
        <v>161</v>
      </c>
      <c r="AX60" s="45" t="s">
        <v>320</v>
      </c>
      <c r="AY60" s="45" t="s">
        <v>349</v>
      </c>
      <c r="AZ60" s="45" t="s">
        <v>215</v>
      </c>
      <c r="BA60" s="45" t="s">
        <v>164</v>
      </c>
      <c r="BB60" s="45" t="str">
        <f t="shared" si="16"/>
        <v>2025_BG_SMARTX_620_4-6_FineRoots</v>
      </c>
    </row>
    <row r="61" spans="25:54" x14ac:dyDescent="0.2">
      <c r="Y61" s="52" t="s">
        <v>160</v>
      </c>
      <c r="Z61" s="52" t="s">
        <v>161</v>
      </c>
      <c r="AA61" s="52" t="s">
        <v>208</v>
      </c>
      <c r="AB61" s="52" t="s">
        <v>246</v>
      </c>
      <c r="AC61" s="52" t="s">
        <v>164</v>
      </c>
      <c r="AD61" s="39" t="str">
        <f t="shared" si="15"/>
        <v>2025_BG_2M_Ch20_FineRoots</v>
      </c>
      <c r="AF61" s="59" t="s">
        <v>160</v>
      </c>
      <c r="AG61" s="59" t="s">
        <v>161</v>
      </c>
      <c r="AH61" s="59" t="s">
        <v>210</v>
      </c>
      <c r="AI61" s="59" t="s">
        <v>222</v>
      </c>
      <c r="AJ61" s="59" t="s">
        <v>214</v>
      </c>
      <c r="AK61" s="60" t="s">
        <v>165</v>
      </c>
      <c r="AL61" s="60" t="str">
        <f t="shared" si="12"/>
        <v>2025_BG_Phrag_P8_1-3_C3Rhiz</v>
      </c>
      <c r="AN61" s="45" t="s">
        <v>160</v>
      </c>
      <c r="AO61" s="45" t="s">
        <v>161</v>
      </c>
      <c r="AP61" s="45" t="s">
        <v>320</v>
      </c>
      <c r="AQ61" s="45" t="s">
        <v>323</v>
      </c>
      <c r="AR61" s="45" t="s">
        <v>334</v>
      </c>
      <c r="AS61" s="46" t="s">
        <v>165</v>
      </c>
      <c r="AT61" s="46" t="str">
        <f t="shared" si="13"/>
        <v>2025_BG_SMARTX_442_8_C3Rhiz</v>
      </c>
      <c r="AV61" s="45" t="s">
        <v>160</v>
      </c>
      <c r="AW61" s="45" t="s">
        <v>161</v>
      </c>
      <c r="AX61" s="45" t="s">
        <v>320</v>
      </c>
      <c r="AY61" s="45" t="s">
        <v>349</v>
      </c>
      <c r="AZ61" s="45" t="s">
        <v>215</v>
      </c>
      <c r="BA61" s="46" t="s">
        <v>165</v>
      </c>
      <c r="BB61" s="46" t="str">
        <f t="shared" si="16"/>
        <v>2025_BG_SMARTX_620_4-6_C3Rhiz</v>
      </c>
    </row>
    <row r="62" spans="25:54" x14ac:dyDescent="0.2">
      <c r="Y62" s="52" t="s">
        <v>160</v>
      </c>
      <c r="Z62" s="52" t="s">
        <v>161</v>
      </c>
      <c r="AA62" s="52" t="s">
        <v>208</v>
      </c>
      <c r="AB62" s="52" t="s">
        <v>246</v>
      </c>
      <c r="AC62" s="53" t="s">
        <v>165</v>
      </c>
      <c r="AD62" s="39" t="str">
        <f t="shared" si="15"/>
        <v>2025_BG_2M_Ch20_C3Rhiz</v>
      </c>
      <c r="AF62" s="59" t="s">
        <v>160</v>
      </c>
      <c r="AG62" s="59" t="s">
        <v>161</v>
      </c>
      <c r="AH62" s="59" t="s">
        <v>210</v>
      </c>
      <c r="AI62" s="59" t="s">
        <v>222</v>
      </c>
      <c r="AJ62" s="59" t="s">
        <v>214</v>
      </c>
      <c r="AK62" s="59" t="s">
        <v>166</v>
      </c>
      <c r="AL62" s="59" t="str">
        <f t="shared" si="12"/>
        <v>2025_BG_Phrag_P8_1-3_C4Rhiz</v>
      </c>
      <c r="AN62" s="45" t="s">
        <v>160</v>
      </c>
      <c r="AO62" s="45" t="s">
        <v>161</v>
      </c>
      <c r="AP62" s="45" t="s">
        <v>320</v>
      </c>
      <c r="AQ62" s="45" t="s">
        <v>323</v>
      </c>
      <c r="AR62" s="45" t="s">
        <v>334</v>
      </c>
      <c r="AS62" s="45" t="s">
        <v>166</v>
      </c>
      <c r="AT62" s="45" t="str">
        <f t="shared" si="13"/>
        <v>2025_BG_SMARTX_442_8_C4Rhiz</v>
      </c>
      <c r="AV62" s="45" t="s">
        <v>160</v>
      </c>
      <c r="AW62" s="45" t="s">
        <v>161</v>
      </c>
      <c r="AX62" s="45" t="s">
        <v>320</v>
      </c>
      <c r="AY62" s="45" t="s">
        <v>349</v>
      </c>
      <c r="AZ62" s="45" t="s">
        <v>215</v>
      </c>
      <c r="BA62" s="45" t="s">
        <v>166</v>
      </c>
      <c r="BB62" s="45" t="str">
        <f t="shared" si="16"/>
        <v>2025_BG_SMARTX_620_4-6_C4Rhiz</v>
      </c>
    </row>
    <row r="63" spans="25:54" x14ac:dyDescent="0.2">
      <c r="Y63" s="52" t="s">
        <v>160</v>
      </c>
      <c r="Z63" s="52" t="s">
        <v>161</v>
      </c>
      <c r="AA63" s="52" t="s">
        <v>208</v>
      </c>
      <c r="AB63" s="52" t="s">
        <v>246</v>
      </c>
      <c r="AC63" s="52" t="s">
        <v>166</v>
      </c>
      <c r="AD63" s="39" t="str">
        <f t="shared" si="15"/>
        <v>2025_BG_2M_Ch20_C4Rhiz</v>
      </c>
      <c r="AF63" s="59" t="s">
        <v>160</v>
      </c>
      <c r="AG63" s="59" t="s">
        <v>161</v>
      </c>
      <c r="AH63" s="59" t="s">
        <v>210</v>
      </c>
      <c r="AI63" s="59" t="s">
        <v>222</v>
      </c>
      <c r="AJ63" s="59" t="s">
        <v>214</v>
      </c>
      <c r="AK63" s="59" t="s">
        <v>209</v>
      </c>
      <c r="AL63" s="59" t="str">
        <f t="shared" si="12"/>
        <v>2025_BG_Phrag_P8_1-3_PhragRhiz</v>
      </c>
      <c r="AN63" s="45" t="s">
        <v>160</v>
      </c>
      <c r="AO63" s="45" t="s">
        <v>161</v>
      </c>
      <c r="AP63" s="45" t="s">
        <v>320</v>
      </c>
      <c r="AQ63" s="45" t="s">
        <v>323</v>
      </c>
      <c r="AR63" s="45" t="s">
        <v>334</v>
      </c>
      <c r="AS63" s="45" t="s">
        <v>333</v>
      </c>
      <c r="AT63" s="45" t="str">
        <f t="shared" si="13"/>
        <v>2025_BG_SMARTX_442_8_OtherRhiz</v>
      </c>
      <c r="AV63" s="45" t="s">
        <v>160</v>
      </c>
      <c r="AW63" s="45" t="s">
        <v>161</v>
      </c>
      <c r="AX63" s="45" t="s">
        <v>320</v>
      </c>
      <c r="AY63" s="45" t="s">
        <v>349</v>
      </c>
      <c r="AZ63" s="45" t="s">
        <v>215</v>
      </c>
      <c r="BA63" s="45" t="s">
        <v>333</v>
      </c>
      <c r="BB63" s="45" t="str">
        <f t="shared" si="16"/>
        <v>2025_BG_SMARTX_620_4-6_OtherRhiz</v>
      </c>
    </row>
    <row r="64" spans="25:54" x14ac:dyDescent="0.2">
      <c r="AF64" s="61" t="s">
        <v>160</v>
      </c>
      <c r="AG64" s="61" t="s">
        <v>161</v>
      </c>
      <c r="AH64" s="61" t="s">
        <v>210</v>
      </c>
      <c r="AI64" s="61" t="s">
        <v>222</v>
      </c>
      <c r="AJ64" s="61" t="s">
        <v>215</v>
      </c>
      <c r="AK64" s="61" t="s">
        <v>164</v>
      </c>
      <c r="AL64" s="61" t="str">
        <f t="shared" si="12"/>
        <v>2025_BG_Phrag_P8_4-6_FineRoots</v>
      </c>
      <c r="AN64" s="52" t="s">
        <v>160</v>
      </c>
      <c r="AO64" s="52" t="s">
        <v>161</v>
      </c>
      <c r="AP64" s="52" t="s">
        <v>320</v>
      </c>
      <c r="AQ64" s="52" t="s">
        <v>324</v>
      </c>
      <c r="AR64" s="52" t="s">
        <v>334</v>
      </c>
      <c r="AS64" s="52" t="s">
        <v>164</v>
      </c>
      <c r="AT64" s="52" t="str">
        <f t="shared" si="13"/>
        <v>2025_BG_SMARTX_443_8_FineRoots</v>
      </c>
      <c r="AV64" s="52" t="s">
        <v>160</v>
      </c>
      <c r="AW64" s="52" t="s">
        <v>161</v>
      </c>
      <c r="AX64" s="52" t="s">
        <v>320</v>
      </c>
      <c r="AY64" s="52" t="s">
        <v>350</v>
      </c>
      <c r="AZ64" s="52" t="s">
        <v>215</v>
      </c>
      <c r="BA64" s="52" t="s">
        <v>164</v>
      </c>
      <c r="BB64" s="52" t="str">
        <f t="shared" si="16"/>
        <v>2025_BG_SMARTX_623_4-6_FineRoots</v>
      </c>
    </row>
    <row r="65" spans="32:54" x14ac:dyDescent="0.2">
      <c r="AF65" s="61" t="s">
        <v>160</v>
      </c>
      <c r="AG65" s="61" t="s">
        <v>161</v>
      </c>
      <c r="AH65" s="61" t="s">
        <v>210</v>
      </c>
      <c r="AI65" s="61" t="s">
        <v>222</v>
      </c>
      <c r="AJ65" s="61" t="s">
        <v>215</v>
      </c>
      <c r="AK65" s="62" t="s">
        <v>165</v>
      </c>
      <c r="AL65" s="62" t="str">
        <f t="shared" si="12"/>
        <v>2025_BG_Phrag_P8_4-6_C3Rhiz</v>
      </c>
      <c r="AN65" s="52" t="s">
        <v>160</v>
      </c>
      <c r="AO65" s="52" t="s">
        <v>161</v>
      </c>
      <c r="AP65" s="52" t="s">
        <v>320</v>
      </c>
      <c r="AQ65" s="52" t="s">
        <v>324</v>
      </c>
      <c r="AR65" s="52" t="s">
        <v>334</v>
      </c>
      <c r="AS65" s="53" t="s">
        <v>165</v>
      </c>
      <c r="AT65" s="53" t="str">
        <f t="shared" si="13"/>
        <v>2025_BG_SMARTX_443_8_C3Rhiz</v>
      </c>
      <c r="AV65" s="52" t="s">
        <v>160</v>
      </c>
      <c r="AW65" s="52" t="s">
        <v>161</v>
      </c>
      <c r="AX65" s="52" t="s">
        <v>320</v>
      </c>
      <c r="AY65" s="52" t="s">
        <v>350</v>
      </c>
      <c r="AZ65" s="52" t="s">
        <v>215</v>
      </c>
      <c r="BA65" s="53" t="s">
        <v>165</v>
      </c>
      <c r="BB65" s="53" t="str">
        <f t="shared" si="16"/>
        <v>2025_BG_SMARTX_623_4-6_C3Rhiz</v>
      </c>
    </row>
    <row r="66" spans="32:54" x14ac:dyDescent="0.2">
      <c r="AF66" s="61" t="s">
        <v>160</v>
      </c>
      <c r="AG66" s="61" t="s">
        <v>161</v>
      </c>
      <c r="AH66" s="61" t="s">
        <v>210</v>
      </c>
      <c r="AI66" s="61" t="s">
        <v>222</v>
      </c>
      <c r="AJ66" s="61" t="s">
        <v>215</v>
      </c>
      <c r="AK66" s="61" t="s">
        <v>166</v>
      </c>
      <c r="AL66" s="61" t="str">
        <f t="shared" si="12"/>
        <v>2025_BG_Phrag_P8_4-6_C4Rhiz</v>
      </c>
      <c r="AN66" s="52" t="s">
        <v>160</v>
      </c>
      <c r="AO66" s="52" t="s">
        <v>161</v>
      </c>
      <c r="AP66" s="52" t="s">
        <v>320</v>
      </c>
      <c r="AQ66" s="52" t="s">
        <v>324</v>
      </c>
      <c r="AR66" s="52" t="s">
        <v>334</v>
      </c>
      <c r="AS66" s="52" t="s">
        <v>166</v>
      </c>
      <c r="AT66" s="52" t="str">
        <f t="shared" si="13"/>
        <v>2025_BG_SMARTX_443_8_C4Rhiz</v>
      </c>
      <c r="AV66" s="52" t="s">
        <v>160</v>
      </c>
      <c r="AW66" s="52" t="s">
        <v>161</v>
      </c>
      <c r="AX66" s="52" t="s">
        <v>320</v>
      </c>
      <c r="AY66" s="52" t="s">
        <v>350</v>
      </c>
      <c r="AZ66" s="52" t="s">
        <v>215</v>
      </c>
      <c r="BA66" s="52" t="s">
        <v>166</v>
      </c>
      <c r="BB66" s="52" t="str">
        <f t="shared" si="16"/>
        <v>2025_BG_SMARTX_623_4-6_C4Rhiz</v>
      </c>
    </row>
    <row r="67" spans="32:54" x14ac:dyDescent="0.2">
      <c r="AF67" s="61" t="s">
        <v>160</v>
      </c>
      <c r="AG67" s="61" t="s">
        <v>161</v>
      </c>
      <c r="AH67" s="61" t="s">
        <v>210</v>
      </c>
      <c r="AI67" s="61" t="s">
        <v>222</v>
      </c>
      <c r="AJ67" s="61" t="s">
        <v>215</v>
      </c>
      <c r="AK67" s="61" t="s">
        <v>209</v>
      </c>
      <c r="AL67" s="61" t="str">
        <f t="shared" si="12"/>
        <v>2025_BG_Phrag_P8_4-6_PhragRhiz</v>
      </c>
      <c r="AN67" s="52" t="s">
        <v>160</v>
      </c>
      <c r="AO67" s="52" t="s">
        <v>161</v>
      </c>
      <c r="AP67" s="52" t="s">
        <v>320</v>
      </c>
      <c r="AQ67" s="52" t="s">
        <v>324</v>
      </c>
      <c r="AR67" s="52" t="s">
        <v>334</v>
      </c>
      <c r="AS67" s="52" t="s">
        <v>333</v>
      </c>
      <c r="AT67" s="52" t="str">
        <f t="shared" si="13"/>
        <v>2025_BG_SMARTX_443_8_OtherRhiz</v>
      </c>
      <c r="AV67" s="52" t="s">
        <v>160</v>
      </c>
      <c r="AW67" s="52" t="s">
        <v>161</v>
      </c>
      <c r="AX67" s="52" t="s">
        <v>320</v>
      </c>
      <c r="AY67" s="52" t="s">
        <v>350</v>
      </c>
      <c r="AZ67" s="52" t="s">
        <v>215</v>
      </c>
      <c r="BA67" s="52" t="s">
        <v>333</v>
      </c>
      <c r="BB67" s="52" t="str">
        <f t="shared" si="16"/>
        <v>2025_BG_SMARTX_623_4-6_OtherRhiz</v>
      </c>
    </row>
    <row r="68" spans="32:54" x14ac:dyDescent="0.2">
      <c r="AF68" s="45" t="s">
        <v>160</v>
      </c>
      <c r="AG68" s="45" t="s">
        <v>161</v>
      </c>
      <c r="AH68" s="45" t="s">
        <v>210</v>
      </c>
      <c r="AI68" s="45" t="s">
        <v>223</v>
      </c>
      <c r="AJ68" s="45" t="s">
        <v>214</v>
      </c>
      <c r="AK68" s="45" t="s">
        <v>164</v>
      </c>
      <c r="AL68" s="45" t="str">
        <f t="shared" ref="AL68:AL99" si="17">_xlfn.CONCAT(AF68:AK68)</f>
        <v>2025_BG_Phrag_P9_1-3_FineRoots</v>
      </c>
      <c r="AN68" s="45" t="s">
        <v>160</v>
      </c>
      <c r="AO68" s="45" t="s">
        <v>161</v>
      </c>
      <c r="AP68" s="45" t="s">
        <v>320</v>
      </c>
      <c r="AQ68" s="45" t="s">
        <v>325</v>
      </c>
      <c r="AR68" s="45" t="s">
        <v>334</v>
      </c>
      <c r="AS68" s="45" t="s">
        <v>164</v>
      </c>
      <c r="AT68" s="45" t="str">
        <f t="shared" si="13"/>
        <v>2025_BG_SMARTX_450_8_FineRoots</v>
      </c>
      <c r="AV68" s="45" t="s">
        <v>160</v>
      </c>
      <c r="AW68" s="45" t="s">
        <v>161</v>
      </c>
      <c r="AX68" s="45" t="s">
        <v>320</v>
      </c>
      <c r="AY68" s="45" t="s">
        <v>351</v>
      </c>
      <c r="AZ68" s="45" t="s">
        <v>215</v>
      </c>
      <c r="BA68" s="45" t="s">
        <v>164</v>
      </c>
      <c r="BB68" s="45" t="str">
        <f t="shared" si="16"/>
        <v>2025_BG_SMARTX_630_4-6_FineRoots</v>
      </c>
    </row>
    <row r="69" spans="32:54" x14ac:dyDescent="0.2">
      <c r="AF69" s="45" t="s">
        <v>160</v>
      </c>
      <c r="AG69" s="45" t="s">
        <v>161</v>
      </c>
      <c r="AH69" s="45" t="s">
        <v>210</v>
      </c>
      <c r="AI69" s="45" t="s">
        <v>223</v>
      </c>
      <c r="AJ69" s="45" t="s">
        <v>214</v>
      </c>
      <c r="AK69" s="46" t="s">
        <v>165</v>
      </c>
      <c r="AL69" s="46" t="str">
        <f t="shared" si="17"/>
        <v>2025_BG_Phrag_P9_1-3_C3Rhiz</v>
      </c>
      <c r="AN69" s="45" t="s">
        <v>160</v>
      </c>
      <c r="AO69" s="45" t="s">
        <v>161</v>
      </c>
      <c r="AP69" s="45" t="s">
        <v>320</v>
      </c>
      <c r="AQ69" s="45" t="s">
        <v>325</v>
      </c>
      <c r="AR69" s="45" t="s">
        <v>334</v>
      </c>
      <c r="AS69" s="46" t="s">
        <v>165</v>
      </c>
      <c r="AT69" s="46" t="str">
        <f t="shared" si="13"/>
        <v>2025_BG_SMARTX_450_8_C3Rhiz</v>
      </c>
      <c r="AV69" s="45" t="s">
        <v>160</v>
      </c>
      <c r="AW69" s="45" t="s">
        <v>161</v>
      </c>
      <c r="AX69" s="45" t="s">
        <v>320</v>
      </c>
      <c r="AY69" s="45" t="s">
        <v>351</v>
      </c>
      <c r="AZ69" s="45" t="s">
        <v>215</v>
      </c>
      <c r="BA69" s="46" t="s">
        <v>165</v>
      </c>
      <c r="BB69" s="46" t="str">
        <f t="shared" si="16"/>
        <v>2025_BG_SMARTX_630_4-6_C3Rhiz</v>
      </c>
    </row>
    <row r="70" spans="32:54" x14ac:dyDescent="0.2">
      <c r="AF70" s="45" t="s">
        <v>160</v>
      </c>
      <c r="AG70" s="45" t="s">
        <v>161</v>
      </c>
      <c r="AH70" s="45" t="s">
        <v>210</v>
      </c>
      <c r="AI70" s="45" t="s">
        <v>223</v>
      </c>
      <c r="AJ70" s="45" t="s">
        <v>214</v>
      </c>
      <c r="AK70" s="45" t="s">
        <v>166</v>
      </c>
      <c r="AL70" s="45" t="str">
        <f t="shared" si="17"/>
        <v>2025_BG_Phrag_P9_1-3_C4Rhiz</v>
      </c>
      <c r="AN70" s="45" t="s">
        <v>160</v>
      </c>
      <c r="AO70" s="45" t="s">
        <v>161</v>
      </c>
      <c r="AP70" s="45" t="s">
        <v>320</v>
      </c>
      <c r="AQ70" s="45" t="s">
        <v>325</v>
      </c>
      <c r="AR70" s="45" t="s">
        <v>334</v>
      </c>
      <c r="AS70" s="45" t="s">
        <v>166</v>
      </c>
      <c r="AT70" s="45" t="str">
        <f t="shared" si="13"/>
        <v>2025_BG_SMARTX_450_8_C4Rhiz</v>
      </c>
      <c r="AV70" s="45" t="s">
        <v>160</v>
      </c>
      <c r="AW70" s="45" t="s">
        <v>161</v>
      </c>
      <c r="AX70" s="45" t="s">
        <v>320</v>
      </c>
      <c r="AY70" s="45" t="s">
        <v>351</v>
      </c>
      <c r="AZ70" s="45" t="s">
        <v>215</v>
      </c>
      <c r="BA70" s="45" t="s">
        <v>166</v>
      </c>
      <c r="BB70" s="45" t="str">
        <f t="shared" si="16"/>
        <v>2025_BG_SMARTX_630_4-6_C4Rhiz</v>
      </c>
    </row>
    <row r="71" spans="32:54" x14ac:dyDescent="0.2">
      <c r="AF71" s="45" t="s">
        <v>160</v>
      </c>
      <c r="AG71" s="45" t="s">
        <v>161</v>
      </c>
      <c r="AH71" s="45" t="s">
        <v>210</v>
      </c>
      <c r="AI71" s="45" t="s">
        <v>223</v>
      </c>
      <c r="AJ71" s="45" t="s">
        <v>214</v>
      </c>
      <c r="AK71" s="45" t="s">
        <v>209</v>
      </c>
      <c r="AL71" s="45" t="str">
        <f t="shared" si="17"/>
        <v>2025_BG_Phrag_P9_1-3_PhragRhiz</v>
      </c>
      <c r="AN71" s="45" t="s">
        <v>160</v>
      </c>
      <c r="AO71" s="45" t="s">
        <v>161</v>
      </c>
      <c r="AP71" s="45" t="s">
        <v>320</v>
      </c>
      <c r="AQ71" s="45" t="s">
        <v>325</v>
      </c>
      <c r="AR71" s="45" t="s">
        <v>334</v>
      </c>
      <c r="AS71" s="45" t="s">
        <v>333</v>
      </c>
      <c r="AT71" s="45" t="str">
        <f t="shared" si="13"/>
        <v>2025_BG_SMARTX_450_8_OtherRhiz</v>
      </c>
      <c r="AV71" s="45" t="s">
        <v>160</v>
      </c>
      <c r="AW71" s="45" t="s">
        <v>161</v>
      </c>
      <c r="AX71" s="45" t="s">
        <v>320</v>
      </c>
      <c r="AY71" s="45" t="s">
        <v>351</v>
      </c>
      <c r="AZ71" s="45" t="s">
        <v>215</v>
      </c>
      <c r="BA71" s="45" t="s">
        <v>333</v>
      </c>
      <c r="BB71" s="45" t="str">
        <f t="shared" si="16"/>
        <v>2025_BG_SMARTX_630_4-6_OtherRhiz</v>
      </c>
    </row>
    <row r="72" spans="32:54" x14ac:dyDescent="0.2">
      <c r="AF72" s="57" t="s">
        <v>160</v>
      </c>
      <c r="AG72" s="57" t="s">
        <v>161</v>
      </c>
      <c r="AH72" s="57" t="s">
        <v>210</v>
      </c>
      <c r="AI72" s="57" t="s">
        <v>223</v>
      </c>
      <c r="AJ72" s="57" t="s">
        <v>215</v>
      </c>
      <c r="AK72" s="57" t="s">
        <v>164</v>
      </c>
      <c r="AL72" s="57" t="str">
        <f t="shared" si="17"/>
        <v>2025_BG_Phrag_P9_4-6_FineRoots</v>
      </c>
      <c r="AN72" s="52" t="s">
        <v>160</v>
      </c>
      <c r="AO72" s="52" t="s">
        <v>161</v>
      </c>
      <c r="AP72" s="52" t="s">
        <v>320</v>
      </c>
      <c r="AQ72" s="52" t="s">
        <v>326</v>
      </c>
      <c r="AR72" s="52" t="s">
        <v>334</v>
      </c>
      <c r="AS72" s="52" t="s">
        <v>164</v>
      </c>
      <c r="AT72" s="52" t="str">
        <f t="shared" si="13"/>
        <v>2025_BG_SMARTX_451_8_FineRoots</v>
      </c>
      <c r="AV72" s="52" t="s">
        <v>160</v>
      </c>
      <c r="AW72" s="52" t="s">
        <v>161</v>
      </c>
      <c r="AX72" s="52" t="s">
        <v>320</v>
      </c>
      <c r="AY72" s="52" t="s">
        <v>352</v>
      </c>
      <c r="AZ72" s="52" t="s">
        <v>215</v>
      </c>
      <c r="BA72" s="52" t="s">
        <v>164</v>
      </c>
      <c r="BB72" s="52" t="str">
        <f t="shared" si="16"/>
        <v>2025_BG_SMARTX_633_4-6_FineRoots</v>
      </c>
    </row>
    <row r="73" spans="32:54" x14ac:dyDescent="0.2">
      <c r="AF73" s="57" t="s">
        <v>160</v>
      </c>
      <c r="AG73" s="57" t="s">
        <v>161</v>
      </c>
      <c r="AH73" s="57" t="s">
        <v>210</v>
      </c>
      <c r="AI73" s="57" t="s">
        <v>223</v>
      </c>
      <c r="AJ73" s="57" t="s">
        <v>215</v>
      </c>
      <c r="AK73" s="58" t="s">
        <v>165</v>
      </c>
      <c r="AL73" s="58" t="str">
        <f t="shared" si="17"/>
        <v>2025_BG_Phrag_P9_4-6_C3Rhiz</v>
      </c>
      <c r="AN73" s="52" t="s">
        <v>160</v>
      </c>
      <c r="AO73" s="52" t="s">
        <v>161</v>
      </c>
      <c r="AP73" s="52" t="s">
        <v>320</v>
      </c>
      <c r="AQ73" s="52" t="s">
        <v>326</v>
      </c>
      <c r="AR73" s="52" t="s">
        <v>334</v>
      </c>
      <c r="AS73" s="53" t="s">
        <v>165</v>
      </c>
      <c r="AT73" s="53" t="str">
        <f t="shared" si="13"/>
        <v>2025_BG_SMARTX_451_8_C3Rhiz</v>
      </c>
      <c r="AV73" s="52" t="s">
        <v>160</v>
      </c>
      <c r="AW73" s="52" t="s">
        <v>161</v>
      </c>
      <c r="AX73" s="52" t="s">
        <v>320</v>
      </c>
      <c r="AY73" s="52" t="s">
        <v>352</v>
      </c>
      <c r="AZ73" s="52" t="s">
        <v>215</v>
      </c>
      <c r="BA73" s="53" t="s">
        <v>165</v>
      </c>
      <c r="BB73" s="53" t="str">
        <f t="shared" si="16"/>
        <v>2025_BG_SMARTX_633_4-6_C3Rhiz</v>
      </c>
    </row>
    <row r="74" spans="32:54" x14ac:dyDescent="0.2">
      <c r="AF74" s="57" t="s">
        <v>160</v>
      </c>
      <c r="AG74" s="57" t="s">
        <v>161</v>
      </c>
      <c r="AH74" s="57" t="s">
        <v>210</v>
      </c>
      <c r="AI74" s="57" t="s">
        <v>223</v>
      </c>
      <c r="AJ74" s="57" t="s">
        <v>215</v>
      </c>
      <c r="AK74" s="57" t="s">
        <v>166</v>
      </c>
      <c r="AL74" s="57" t="str">
        <f t="shared" si="17"/>
        <v>2025_BG_Phrag_P9_4-6_C4Rhiz</v>
      </c>
      <c r="AN74" s="52" t="s">
        <v>160</v>
      </c>
      <c r="AO74" s="52" t="s">
        <v>161</v>
      </c>
      <c r="AP74" s="52" t="s">
        <v>320</v>
      </c>
      <c r="AQ74" s="52" t="s">
        <v>326</v>
      </c>
      <c r="AR74" s="52" t="s">
        <v>334</v>
      </c>
      <c r="AS74" s="52" t="s">
        <v>166</v>
      </c>
      <c r="AT74" s="52" t="str">
        <f t="shared" si="13"/>
        <v>2025_BG_SMARTX_451_8_C4Rhiz</v>
      </c>
      <c r="AV74" s="52" t="s">
        <v>160</v>
      </c>
      <c r="AW74" s="52" t="s">
        <v>161</v>
      </c>
      <c r="AX74" s="52" t="s">
        <v>320</v>
      </c>
      <c r="AY74" s="52" t="s">
        <v>352</v>
      </c>
      <c r="AZ74" s="52" t="s">
        <v>215</v>
      </c>
      <c r="BA74" s="52" t="s">
        <v>166</v>
      </c>
      <c r="BB74" s="52" t="str">
        <f t="shared" si="16"/>
        <v>2025_BG_SMARTX_633_4-6_C4Rhiz</v>
      </c>
    </row>
    <row r="75" spans="32:54" x14ac:dyDescent="0.2">
      <c r="AF75" s="57" t="s">
        <v>160</v>
      </c>
      <c r="AG75" s="57" t="s">
        <v>161</v>
      </c>
      <c r="AH75" s="57" t="s">
        <v>210</v>
      </c>
      <c r="AI75" s="57" t="s">
        <v>223</v>
      </c>
      <c r="AJ75" s="57" t="s">
        <v>215</v>
      </c>
      <c r="AK75" s="57" t="s">
        <v>209</v>
      </c>
      <c r="AL75" s="57" t="str">
        <f t="shared" si="17"/>
        <v>2025_BG_Phrag_P9_4-6_PhragRhiz</v>
      </c>
      <c r="AN75" s="52" t="s">
        <v>160</v>
      </c>
      <c r="AO75" s="52" t="s">
        <v>161</v>
      </c>
      <c r="AP75" s="52" t="s">
        <v>320</v>
      </c>
      <c r="AQ75" s="52" t="s">
        <v>326</v>
      </c>
      <c r="AR75" s="52" t="s">
        <v>334</v>
      </c>
      <c r="AS75" s="52" t="s">
        <v>333</v>
      </c>
      <c r="AT75" s="52" t="str">
        <f t="shared" si="13"/>
        <v>2025_BG_SMARTX_451_8_OtherRhiz</v>
      </c>
      <c r="AV75" s="52" t="s">
        <v>160</v>
      </c>
      <c r="AW75" s="52" t="s">
        <v>161</v>
      </c>
      <c r="AX75" s="52" t="s">
        <v>320</v>
      </c>
      <c r="AY75" s="52" t="s">
        <v>352</v>
      </c>
      <c r="AZ75" s="52" t="s">
        <v>215</v>
      </c>
      <c r="BA75" s="52" t="s">
        <v>333</v>
      </c>
      <c r="BB75" s="52" t="str">
        <f t="shared" si="16"/>
        <v>2025_BG_SMARTX_633_4-6_OtherRhiz</v>
      </c>
    </row>
    <row r="76" spans="32:54" x14ac:dyDescent="0.2">
      <c r="AF76" s="59" t="s">
        <v>160</v>
      </c>
      <c r="AG76" s="59" t="s">
        <v>161</v>
      </c>
      <c r="AH76" s="59" t="s">
        <v>210</v>
      </c>
      <c r="AI76" s="59" t="s">
        <v>224</v>
      </c>
      <c r="AJ76" s="59" t="s">
        <v>214</v>
      </c>
      <c r="AK76" s="59" t="s">
        <v>164</v>
      </c>
      <c r="AL76" s="59" t="str">
        <f t="shared" si="17"/>
        <v>2025_BG_Phrag_P10_1-3_FineRoots</v>
      </c>
      <c r="AN76" s="45" t="s">
        <v>160</v>
      </c>
      <c r="AO76" s="45" t="s">
        <v>161</v>
      </c>
      <c r="AP76" s="45" t="s">
        <v>320</v>
      </c>
      <c r="AQ76" s="45" t="s">
        <v>327</v>
      </c>
      <c r="AR76" s="45" t="s">
        <v>334</v>
      </c>
      <c r="AS76" s="45" t="s">
        <v>164</v>
      </c>
      <c r="AT76" s="45" t="str">
        <f t="shared" si="13"/>
        <v>2025_BG_SMARTX_452_8_FineRoots</v>
      </c>
      <c r="AV76" s="45" t="s">
        <v>160</v>
      </c>
      <c r="AW76" s="45" t="s">
        <v>161</v>
      </c>
      <c r="AX76" s="45" t="s">
        <v>320</v>
      </c>
      <c r="AY76" s="45" t="s">
        <v>335</v>
      </c>
      <c r="AZ76" s="45" t="s">
        <v>334</v>
      </c>
      <c r="BA76" s="45" t="s">
        <v>164</v>
      </c>
      <c r="BB76" s="45" t="str">
        <f t="shared" si="16"/>
        <v>2025_BG_SMARTX_310_8_FineRoots</v>
      </c>
    </row>
    <row r="77" spans="32:54" x14ac:dyDescent="0.2">
      <c r="AF77" s="59" t="s">
        <v>160</v>
      </c>
      <c r="AG77" s="59" t="s">
        <v>161</v>
      </c>
      <c r="AH77" s="59" t="s">
        <v>210</v>
      </c>
      <c r="AI77" s="59" t="s">
        <v>224</v>
      </c>
      <c r="AJ77" s="59" t="s">
        <v>214</v>
      </c>
      <c r="AK77" s="60" t="s">
        <v>165</v>
      </c>
      <c r="AL77" s="60" t="str">
        <f t="shared" si="17"/>
        <v>2025_BG_Phrag_P10_1-3_C3Rhiz</v>
      </c>
      <c r="AN77" s="45" t="s">
        <v>160</v>
      </c>
      <c r="AO77" s="45" t="s">
        <v>161</v>
      </c>
      <c r="AP77" s="45" t="s">
        <v>320</v>
      </c>
      <c r="AQ77" s="45" t="s">
        <v>327</v>
      </c>
      <c r="AR77" s="45" t="s">
        <v>334</v>
      </c>
      <c r="AS77" s="46" t="s">
        <v>165</v>
      </c>
      <c r="AT77" s="46" t="str">
        <f t="shared" si="13"/>
        <v>2025_BG_SMARTX_452_8_C3Rhiz</v>
      </c>
      <c r="AV77" s="45" t="s">
        <v>160</v>
      </c>
      <c r="AW77" s="45" t="s">
        <v>161</v>
      </c>
      <c r="AX77" s="45" t="s">
        <v>320</v>
      </c>
      <c r="AY77" s="45" t="s">
        <v>335</v>
      </c>
      <c r="AZ77" s="45" t="s">
        <v>334</v>
      </c>
      <c r="BA77" s="46" t="s">
        <v>165</v>
      </c>
      <c r="BB77" s="46" t="str">
        <f t="shared" si="16"/>
        <v>2025_BG_SMARTX_310_8_C3Rhiz</v>
      </c>
    </row>
    <row r="78" spans="32:54" x14ac:dyDescent="0.2">
      <c r="AF78" s="59" t="s">
        <v>160</v>
      </c>
      <c r="AG78" s="59" t="s">
        <v>161</v>
      </c>
      <c r="AH78" s="59" t="s">
        <v>210</v>
      </c>
      <c r="AI78" s="59" t="s">
        <v>224</v>
      </c>
      <c r="AJ78" s="59" t="s">
        <v>214</v>
      </c>
      <c r="AK78" s="59" t="s">
        <v>166</v>
      </c>
      <c r="AL78" s="59" t="str">
        <f t="shared" si="17"/>
        <v>2025_BG_Phrag_P10_1-3_C4Rhiz</v>
      </c>
      <c r="AN78" s="45" t="s">
        <v>160</v>
      </c>
      <c r="AO78" s="45" t="s">
        <v>161</v>
      </c>
      <c r="AP78" s="45" t="s">
        <v>320</v>
      </c>
      <c r="AQ78" s="45" t="s">
        <v>327</v>
      </c>
      <c r="AR78" s="45" t="s">
        <v>334</v>
      </c>
      <c r="AS78" s="45" t="s">
        <v>166</v>
      </c>
      <c r="AT78" s="45" t="str">
        <f t="shared" si="13"/>
        <v>2025_BG_SMARTX_452_8_C4Rhiz</v>
      </c>
      <c r="AV78" s="45" t="s">
        <v>160</v>
      </c>
      <c r="AW78" s="45" t="s">
        <v>161</v>
      </c>
      <c r="AX78" s="45" t="s">
        <v>320</v>
      </c>
      <c r="AY78" s="45" t="s">
        <v>335</v>
      </c>
      <c r="AZ78" s="45" t="s">
        <v>334</v>
      </c>
      <c r="BA78" s="45" t="s">
        <v>166</v>
      </c>
      <c r="BB78" s="45" t="str">
        <f t="shared" si="16"/>
        <v>2025_BG_SMARTX_310_8_C4Rhiz</v>
      </c>
    </row>
    <row r="79" spans="32:54" x14ac:dyDescent="0.2">
      <c r="AF79" s="59" t="s">
        <v>160</v>
      </c>
      <c r="AG79" s="59" t="s">
        <v>161</v>
      </c>
      <c r="AH79" s="59" t="s">
        <v>210</v>
      </c>
      <c r="AI79" s="59" t="s">
        <v>224</v>
      </c>
      <c r="AJ79" s="59" t="s">
        <v>214</v>
      </c>
      <c r="AK79" s="59" t="s">
        <v>209</v>
      </c>
      <c r="AL79" s="59" t="str">
        <f t="shared" si="17"/>
        <v>2025_BG_Phrag_P10_1-3_PhragRhiz</v>
      </c>
      <c r="AN79" s="45" t="s">
        <v>160</v>
      </c>
      <c r="AO79" s="45" t="s">
        <v>161</v>
      </c>
      <c r="AP79" s="45" t="s">
        <v>320</v>
      </c>
      <c r="AQ79" s="45" t="s">
        <v>327</v>
      </c>
      <c r="AR79" s="45" t="s">
        <v>334</v>
      </c>
      <c r="AS79" s="45" t="s">
        <v>333</v>
      </c>
      <c r="AT79" s="45" t="str">
        <f t="shared" si="13"/>
        <v>2025_BG_SMARTX_452_8_OtherRhiz</v>
      </c>
      <c r="AV79" s="45" t="s">
        <v>160</v>
      </c>
      <c r="AW79" s="45" t="s">
        <v>161</v>
      </c>
      <c r="AX79" s="45" t="s">
        <v>320</v>
      </c>
      <c r="AY79" s="45" t="s">
        <v>335</v>
      </c>
      <c r="AZ79" s="45" t="s">
        <v>334</v>
      </c>
      <c r="BA79" s="45" t="s">
        <v>333</v>
      </c>
      <c r="BB79" s="45" t="str">
        <f t="shared" si="16"/>
        <v>2025_BG_SMARTX_310_8_OtherRhiz</v>
      </c>
    </row>
    <row r="80" spans="32:54" x14ac:dyDescent="0.2">
      <c r="AF80" s="61" t="s">
        <v>160</v>
      </c>
      <c r="AG80" s="61" t="s">
        <v>161</v>
      </c>
      <c r="AH80" s="61" t="s">
        <v>210</v>
      </c>
      <c r="AI80" s="61" t="s">
        <v>224</v>
      </c>
      <c r="AJ80" s="61" t="s">
        <v>215</v>
      </c>
      <c r="AK80" s="61" t="s">
        <v>164</v>
      </c>
      <c r="AL80" s="61" t="str">
        <f t="shared" si="17"/>
        <v>2025_BG_Phrag_P10_4-6_FineRoots</v>
      </c>
      <c r="AN80" s="52" t="s">
        <v>160</v>
      </c>
      <c r="AO80" s="52" t="s">
        <v>161</v>
      </c>
      <c r="AP80" s="52" t="s">
        <v>320</v>
      </c>
      <c r="AQ80" s="52" t="s">
        <v>328</v>
      </c>
      <c r="AR80" s="52" t="s">
        <v>334</v>
      </c>
      <c r="AS80" s="52" t="s">
        <v>164</v>
      </c>
      <c r="AT80" s="52" t="str">
        <f t="shared" si="13"/>
        <v>2025_BG_SMARTX_453_8_FineRoots</v>
      </c>
      <c r="AV80" s="52" t="s">
        <v>160</v>
      </c>
      <c r="AW80" s="52" t="s">
        <v>161</v>
      </c>
      <c r="AX80" s="52" t="s">
        <v>320</v>
      </c>
      <c r="AY80" s="52" t="s">
        <v>336</v>
      </c>
      <c r="AZ80" s="52" t="s">
        <v>334</v>
      </c>
      <c r="BA80" s="52" t="s">
        <v>164</v>
      </c>
      <c r="BB80" s="52" t="str">
        <f t="shared" si="16"/>
        <v>2025_BG_SMARTX_311_8_FineRoots</v>
      </c>
    </row>
    <row r="81" spans="32:54" x14ac:dyDescent="0.2">
      <c r="AF81" s="61" t="s">
        <v>160</v>
      </c>
      <c r="AG81" s="61" t="s">
        <v>161</v>
      </c>
      <c r="AH81" s="61" t="s">
        <v>210</v>
      </c>
      <c r="AI81" s="61" t="s">
        <v>224</v>
      </c>
      <c r="AJ81" s="61" t="s">
        <v>215</v>
      </c>
      <c r="AK81" s="62" t="s">
        <v>165</v>
      </c>
      <c r="AL81" s="62" t="str">
        <f t="shared" si="17"/>
        <v>2025_BG_Phrag_P10_4-6_C3Rhiz</v>
      </c>
      <c r="AN81" s="52" t="s">
        <v>160</v>
      </c>
      <c r="AO81" s="52" t="s">
        <v>161</v>
      </c>
      <c r="AP81" s="52" t="s">
        <v>320</v>
      </c>
      <c r="AQ81" s="52" t="s">
        <v>328</v>
      </c>
      <c r="AR81" s="52" t="s">
        <v>334</v>
      </c>
      <c r="AS81" s="53" t="s">
        <v>165</v>
      </c>
      <c r="AT81" s="53" t="str">
        <f t="shared" si="13"/>
        <v>2025_BG_SMARTX_453_8_C3Rhiz</v>
      </c>
      <c r="AV81" s="52" t="s">
        <v>160</v>
      </c>
      <c r="AW81" s="52" t="s">
        <v>161</v>
      </c>
      <c r="AX81" s="52" t="s">
        <v>320</v>
      </c>
      <c r="AY81" s="52" t="s">
        <v>336</v>
      </c>
      <c r="AZ81" s="52" t="s">
        <v>334</v>
      </c>
      <c r="BA81" s="53" t="s">
        <v>165</v>
      </c>
      <c r="BB81" s="53" t="str">
        <f t="shared" si="16"/>
        <v>2025_BG_SMARTX_311_8_C3Rhiz</v>
      </c>
    </row>
    <row r="82" spans="32:54" x14ac:dyDescent="0.2">
      <c r="AF82" s="61" t="s">
        <v>160</v>
      </c>
      <c r="AG82" s="61" t="s">
        <v>161</v>
      </c>
      <c r="AH82" s="61" t="s">
        <v>210</v>
      </c>
      <c r="AI82" s="61" t="s">
        <v>224</v>
      </c>
      <c r="AJ82" s="61" t="s">
        <v>215</v>
      </c>
      <c r="AK82" s="61" t="s">
        <v>166</v>
      </c>
      <c r="AL82" s="61" t="str">
        <f t="shared" si="17"/>
        <v>2025_BG_Phrag_P10_4-6_C4Rhiz</v>
      </c>
      <c r="AN82" s="52" t="s">
        <v>160</v>
      </c>
      <c r="AO82" s="52" t="s">
        <v>161</v>
      </c>
      <c r="AP82" s="52" t="s">
        <v>320</v>
      </c>
      <c r="AQ82" s="52" t="s">
        <v>328</v>
      </c>
      <c r="AR82" s="52" t="s">
        <v>334</v>
      </c>
      <c r="AS82" s="52" t="s">
        <v>166</v>
      </c>
      <c r="AT82" s="52" t="str">
        <f t="shared" si="13"/>
        <v>2025_BG_SMARTX_453_8_C4Rhiz</v>
      </c>
      <c r="AV82" s="52" t="s">
        <v>160</v>
      </c>
      <c r="AW82" s="52" t="s">
        <v>161</v>
      </c>
      <c r="AX82" s="52" t="s">
        <v>320</v>
      </c>
      <c r="AY82" s="52" t="s">
        <v>336</v>
      </c>
      <c r="AZ82" s="52" t="s">
        <v>334</v>
      </c>
      <c r="BA82" s="52" t="s">
        <v>166</v>
      </c>
      <c r="BB82" s="52" t="str">
        <f t="shared" si="16"/>
        <v>2025_BG_SMARTX_311_8_C4Rhiz</v>
      </c>
    </row>
    <row r="83" spans="32:54" x14ac:dyDescent="0.2">
      <c r="AF83" s="61" t="s">
        <v>160</v>
      </c>
      <c r="AG83" s="61" t="s">
        <v>161</v>
      </c>
      <c r="AH83" s="61" t="s">
        <v>210</v>
      </c>
      <c r="AI83" s="61" t="s">
        <v>224</v>
      </c>
      <c r="AJ83" s="61" t="s">
        <v>215</v>
      </c>
      <c r="AK83" s="61" t="s">
        <v>209</v>
      </c>
      <c r="AL83" s="61" t="str">
        <f t="shared" si="17"/>
        <v>2025_BG_Phrag_P10_4-6_PhragRhiz</v>
      </c>
      <c r="AN83" s="52" t="s">
        <v>160</v>
      </c>
      <c r="AO83" s="52" t="s">
        <v>161</v>
      </c>
      <c r="AP83" s="52" t="s">
        <v>320</v>
      </c>
      <c r="AQ83" s="52" t="s">
        <v>328</v>
      </c>
      <c r="AR83" s="52" t="s">
        <v>334</v>
      </c>
      <c r="AS83" s="52" t="s">
        <v>333</v>
      </c>
      <c r="AT83" s="52" t="str">
        <f t="shared" si="13"/>
        <v>2025_BG_SMARTX_453_8_OtherRhiz</v>
      </c>
      <c r="AV83" s="52" t="s">
        <v>160</v>
      </c>
      <c r="AW83" s="52" t="s">
        <v>161</v>
      </c>
      <c r="AX83" s="52" t="s">
        <v>320</v>
      </c>
      <c r="AY83" s="52" t="s">
        <v>336</v>
      </c>
      <c r="AZ83" s="52" t="s">
        <v>334</v>
      </c>
      <c r="BA83" s="52" t="s">
        <v>333</v>
      </c>
      <c r="BB83" s="52" t="str">
        <f t="shared" si="16"/>
        <v>2025_BG_SMARTX_311_8_OtherRhiz</v>
      </c>
    </row>
    <row r="84" spans="32:54" x14ac:dyDescent="0.2">
      <c r="AF84" s="45" t="s">
        <v>160</v>
      </c>
      <c r="AG84" s="45" t="s">
        <v>161</v>
      </c>
      <c r="AH84" s="45" t="s">
        <v>210</v>
      </c>
      <c r="AI84" s="45" t="s">
        <v>225</v>
      </c>
      <c r="AJ84" s="45" t="s">
        <v>214</v>
      </c>
      <c r="AK84" s="45" t="s">
        <v>164</v>
      </c>
      <c r="AL84" s="45" t="str">
        <f t="shared" si="17"/>
        <v>2025_BG_Phrag_P11_1-3_FineRoots</v>
      </c>
      <c r="AN84" s="45" t="s">
        <v>160</v>
      </c>
      <c r="AO84" s="45" t="s">
        <v>161</v>
      </c>
      <c r="AP84" s="45" t="s">
        <v>320</v>
      </c>
      <c r="AQ84" s="45" t="s">
        <v>329</v>
      </c>
      <c r="AR84" s="45" t="s">
        <v>334</v>
      </c>
      <c r="AS84" s="45" t="s">
        <v>164</v>
      </c>
      <c r="AT84" s="45" t="str">
        <f t="shared" si="13"/>
        <v>2025_BG_SMARTX_460_8_FineRoots</v>
      </c>
      <c r="AV84" s="45" t="s">
        <v>160</v>
      </c>
      <c r="AW84" s="45" t="s">
        <v>161</v>
      </c>
      <c r="AX84" s="45" t="s">
        <v>320</v>
      </c>
      <c r="AY84" s="45" t="s">
        <v>337</v>
      </c>
      <c r="AZ84" s="45" t="s">
        <v>334</v>
      </c>
      <c r="BA84" s="45" t="s">
        <v>164</v>
      </c>
      <c r="BB84" s="45" t="str">
        <f t="shared" si="16"/>
        <v>2025_BG_SMARTX_312_8_FineRoots</v>
      </c>
    </row>
    <row r="85" spans="32:54" x14ac:dyDescent="0.2">
      <c r="AF85" s="45" t="s">
        <v>160</v>
      </c>
      <c r="AG85" s="45" t="s">
        <v>161</v>
      </c>
      <c r="AH85" s="45" t="s">
        <v>210</v>
      </c>
      <c r="AI85" s="45" t="s">
        <v>225</v>
      </c>
      <c r="AJ85" s="45" t="s">
        <v>214</v>
      </c>
      <c r="AK85" s="46" t="s">
        <v>165</v>
      </c>
      <c r="AL85" s="46" t="str">
        <f t="shared" si="17"/>
        <v>2025_BG_Phrag_P11_1-3_C3Rhiz</v>
      </c>
      <c r="AN85" s="45" t="s">
        <v>160</v>
      </c>
      <c r="AO85" s="45" t="s">
        <v>161</v>
      </c>
      <c r="AP85" s="45" t="s">
        <v>320</v>
      </c>
      <c r="AQ85" s="45" t="s">
        <v>329</v>
      </c>
      <c r="AR85" s="45" t="s">
        <v>334</v>
      </c>
      <c r="AS85" s="46" t="s">
        <v>165</v>
      </c>
      <c r="AT85" s="46" t="str">
        <f t="shared" si="13"/>
        <v>2025_BG_SMARTX_460_8_C3Rhiz</v>
      </c>
      <c r="AV85" s="45" t="s">
        <v>160</v>
      </c>
      <c r="AW85" s="45" t="s">
        <v>161</v>
      </c>
      <c r="AX85" s="45" t="s">
        <v>320</v>
      </c>
      <c r="AY85" s="45" t="s">
        <v>337</v>
      </c>
      <c r="AZ85" s="45" t="s">
        <v>334</v>
      </c>
      <c r="BA85" s="46" t="s">
        <v>165</v>
      </c>
      <c r="BB85" s="46" t="str">
        <f t="shared" si="16"/>
        <v>2025_BG_SMARTX_312_8_C3Rhiz</v>
      </c>
    </row>
    <row r="86" spans="32:54" x14ac:dyDescent="0.2">
      <c r="AF86" s="45" t="s">
        <v>160</v>
      </c>
      <c r="AG86" s="45" t="s">
        <v>161</v>
      </c>
      <c r="AH86" s="45" t="s">
        <v>210</v>
      </c>
      <c r="AI86" s="45" t="s">
        <v>225</v>
      </c>
      <c r="AJ86" s="45" t="s">
        <v>214</v>
      </c>
      <c r="AK86" s="45" t="s">
        <v>166</v>
      </c>
      <c r="AL86" s="45" t="str">
        <f t="shared" si="17"/>
        <v>2025_BG_Phrag_P11_1-3_C4Rhiz</v>
      </c>
      <c r="AN86" s="45" t="s">
        <v>160</v>
      </c>
      <c r="AO86" s="45" t="s">
        <v>161</v>
      </c>
      <c r="AP86" s="45" t="s">
        <v>320</v>
      </c>
      <c r="AQ86" s="45" t="s">
        <v>329</v>
      </c>
      <c r="AR86" s="45" t="s">
        <v>334</v>
      </c>
      <c r="AS86" s="45" t="s">
        <v>166</v>
      </c>
      <c r="AT86" s="45" t="str">
        <f t="shared" si="13"/>
        <v>2025_BG_SMARTX_460_8_C4Rhiz</v>
      </c>
      <c r="AV86" s="45" t="s">
        <v>160</v>
      </c>
      <c r="AW86" s="45" t="s">
        <v>161</v>
      </c>
      <c r="AX86" s="45" t="s">
        <v>320</v>
      </c>
      <c r="AY86" s="45" t="s">
        <v>337</v>
      </c>
      <c r="AZ86" s="45" t="s">
        <v>334</v>
      </c>
      <c r="BA86" s="45" t="s">
        <v>166</v>
      </c>
      <c r="BB86" s="45" t="str">
        <f t="shared" si="16"/>
        <v>2025_BG_SMARTX_312_8_C4Rhiz</v>
      </c>
    </row>
    <row r="87" spans="32:54" x14ac:dyDescent="0.2">
      <c r="AF87" s="45" t="s">
        <v>160</v>
      </c>
      <c r="AG87" s="45" t="s">
        <v>161</v>
      </c>
      <c r="AH87" s="45" t="s">
        <v>210</v>
      </c>
      <c r="AI87" s="45" t="s">
        <v>225</v>
      </c>
      <c r="AJ87" s="45" t="s">
        <v>214</v>
      </c>
      <c r="AK87" s="45" t="s">
        <v>209</v>
      </c>
      <c r="AL87" s="45" t="str">
        <f t="shared" si="17"/>
        <v>2025_BG_Phrag_P11_1-3_PhragRhiz</v>
      </c>
      <c r="AN87" s="45" t="s">
        <v>160</v>
      </c>
      <c r="AO87" s="45" t="s">
        <v>161</v>
      </c>
      <c r="AP87" s="45" t="s">
        <v>320</v>
      </c>
      <c r="AQ87" s="45" t="s">
        <v>329</v>
      </c>
      <c r="AR87" s="45" t="s">
        <v>334</v>
      </c>
      <c r="AS87" s="45" t="s">
        <v>333</v>
      </c>
      <c r="AT87" s="45" t="str">
        <f t="shared" si="13"/>
        <v>2025_BG_SMARTX_460_8_OtherRhiz</v>
      </c>
      <c r="AV87" s="45" t="s">
        <v>160</v>
      </c>
      <c r="AW87" s="45" t="s">
        <v>161</v>
      </c>
      <c r="AX87" s="45" t="s">
        <v>320</v>
      </c>
      <c r="AY87" s="45" t="s">
        <v>337</v>
      </c>
      <c r="AZ87" s="45" t="s">
        <v>334</v>
      </c>
      <c r="BA87" s="45" t="s">
        <v>333</v>
      </c>
      <c r="BB87" s="45" t="str">
        <f t="shared" si="16"/>
        <v>2025_BG_SMARTX_312_8_OtherRhiz</v>
      </c>
    </row>
    <row r="88" spans="32:54" x14ac:dyDescent="0.2">
      <c r="AF88" s="57" t="s">
        <v>160</v>
      </c>
      <c r="AG88" s="57" t="s">
        <v>161</v>
      </c>
      <c r="AH88" s="57" t="s">
        <v>210</v>
      </c>
      <c r="AI88" s="57" t="s">
        <v>225</v>
      </c>
      <c r="AJ88" s="57" t="s">
        <v>215</v>
      </c>
      <c r="AK88" s="57" t="s">
        <v>164</v>
      </c>
      <c r="AL88" s="57" t="str">
        <f t="shared" si="17"/>
        <v>2025_BG_Phrag_P11_4-6_FineRoots</v>
      </c>
      <c r="AN88" s="52" t="s">
        <v>160</v>
      </c>
      <c r="AO88" s="52" t="s">
        <v>161</v>
      </c>
      <c r="AP88" s="52" t="s">
        <v>320</v>
      </c>
      <c r="AQ88" s="52" t="s">
        <v>330</v>
      </c>
      <c r="AR88" s="52" t="s">
        <v>334</v>
      </c>
      <c r="AS88" s="52" t="s">
        <v>164</v>
      </c>
      <c r="AT88" s="52" t="str">
        <f t="shared" ref="AT88:AT99" si="18">_xlfn.CONCAT(AN88:AS88)</f>
        <v>2025_BG_SMARTX_461_8_FineRoots</v>
      </c>
      <c r="AV88" s="52" t="s">
        <v>160</v>
      </c>
      <c r="AW88" s="52" t="s">
        <v>161</v>
      </c>
      <c r="AX88" s="52" t="s">
        <v>320</v>
      </c>
      <c r="AY88" s="52" t="s">
        <v>338</v>
      </c>
      <c r="AZ88" s="52" t="s">
        <v>334</v>
      </c>
      <c r="BA88" s="52" t="s">
        <v>164</v>
      </c>
      <c r="BB88" s="52" t="str">
        <f t="shared" si="16"/>
        <v>2025_BG_SMARTX_313_8_FineRoots</v>
      </c>
    </row>
    <row r="89" spans="32:54" x14ac:dyDescent="0.2">
      <c r="AF89" s="57" t="s">
        <v>160</v>
      </c>
      <c r="AG89" s="57" t="s">
        <v>161</v>
      </c>
      <c r="AH89" s="57" t="s">
        <v>210</v>
      </c>
      <c r="AI89" s="57" t="s">
        <v>225</v>
      </c>
      <c r="AJ89" s="57" t="s">
        <v>215</v>
      </c>
      <c r="AK89" s="58" t="s">
        <v>165</v>
      </c>
      <c r="AL89" s="58" t="str">
        <f t="shared" si="17"/>
        <v>2025_BG_Phrag_P11_4-6_C3Rhiz</v>
      </c>
      <c r="AN89" s="52" t="s">
        <v>160</v>
      </c>
      <c r="AO89" s="52" t="s">
        <v>161</v>
      </c>
      <c r="AP89" s="52" t="s">
        <v>320</v>
      </c>
      <c r="AQ89" s="52" t="s">
        <v>330</v>
      </c>
      <c r="AR89" s="52" t="s">
        <v>334</v>
      </c>
      <c r="AS89" s="53" t="s">
        <v>165</v>
      </c>
      <c r="AT89" s="53" t="str">
        <f t="shared" si="18"/>
        <v>2025_BG_SMARTX_461_8_C3Rhiz</v>
      </c>
      <c r="AV89" s="52" t="s">
        <v>160</v>
      </c>
      <c r="AW89" s="52" t="s">
        <v>161</v>
      </c>
      <c r="AX89" s="52" t="s">
        <v>320</v>
      </c>
      <c r="AY89" s="52" t="s">
        <v>338</v>
      </c>
      <c r="AZ89" s="52" t="s">
        <v>334</v>
      </c>
      <c r="BA89" s="53" t="s">
        <v>165</v>
      </c>
      <c r="BB89" s="53" t="str">
        <f t="shared" si="16"/>
        <v>2025_BG_SMARTX_313_8_C3Rhiz</v>
      </c>
    </row>
    <row r="90" spans="32:54" x14ac:dyDescent="0.2">
      <c r="AF90" s="57" t="s">
        <v>160</v>
      </c>
      <c r="AG90" s="57" t="s">
        <v>161</v>
      </c>
      <c r="AH90" s="57" t="s">
        <v>210</v>
      </c>
      <c r="AI90" s="57" t="s">
        <v>225</v>
      </c>
      <c r="AJ90" s="57" t="s">
        <v>215</v>
      </c>
      <c r="AK90" s="57" t="s">
        <v>166</v>
      </c>
      <c r="AL90" s="57" t="str">
        <f t="shared" si="17"/>
        <v>2025_BG_Phrag_P11_4-6_C4Rhiz</v>
      </c>
      <c r="AN90" s="52" t="s">
        <v>160</v>
      </c>
      <c r="AO90" s="52" t="s">
        <v>161</v>
      </c>
      <c r="AP90" s="52" t="s">
        <v>320</v>
      </c>
      <c r="AQ90" s="52" t="s">
        <v>330</v>
      </c>
      <c r="AR90" s="52" t="s">
        <v>334</v>
      </c>
      <c r="AS90" s="52" t="s">
        <v>166</v>
      </c>
      <c r="AT90" s="52" t="str">
        <f t="shared" si="18"/>
        <v>2025_BG_SMARTX_461_8_C4Rhiz</v>
      </c>
      <c r="AV90" s="52" t="s">
        <v>160</v>
      </c>
      <c r="AW90" s="52" t="s">
        <v>161</v>
      </c>
      <c r="AX90" s="52" t="s">
        <v>320</v>
      </c>
      <c r="AY90" s="52" t="s">
        <v>338</v>
      </c>
      <c r="AZ90" s="52" t="s">
        <v>334</v>
      </c>
      <c r="BA90" s="52" t="s">
        <v>166</v>
      </c>
      <c r="BB90" s="52" t="str">
        <f t="shared" si="16"/>
        <v>2025_BG_SMARTX_313_8_C4Rhiz</v>
      </c>
    </row>
    <row r="91" spans="32:54" x14ac:dyDescent="0.2">
      <c r="AF91" s="57" t="s">
        <v>160</v>
      </c>
      <c r="AG91" s="57" t="s">
        <v>161</v>
      </c>
      <c r="AH91" s="57" t="s">
        <v>210</v>
      </c>
      <c r="AI91" s="57" t="s">
        <v>225</v>
      </c>
      <c r="AJ91" s="57" t="s">
        <v>215</v>
      </c>
      <c r="AK91" s="57" t="s">
        <v>209</v>
      </c>
      <c r="AL91" s="57" t="str">
        <f t="shared" si="17"/>
        <v>2025_BG_Phrag_P11_4-6_PhragRhiz</v>
      </c>
      <c r="AN91" s="52" t="s">
        <v>160</v>
      </c>
      <c r="AO91" s="52" t="s">
        <v>161</v>
      </c>
      <c r="AP91" s="52" t="s">
        <v>320</v>
      </c>
      <c r="AQ91" s="52" t="s">
        <v>330</v>
      </c>
      <c r="AR91" s="52" t="s">
        <v>334</v>
      </c>
      <c r="AS91" s="52" t="s">
        <v>333</v>
      </c>
      <c r="AT91" s="52" t="str">
        <f t="shared" si="18"/>
        <v>2025_BG_SMARTX_461_8_OtherRhiz</v>
      </c>
      <c r="AV91" s="52" t="s">
        <v>160</v>
      </c>
      <c r="AW91" s="52" t="s">
        <v>161</v>
      </c>
      <c r="AX91" s="52" t="s">
        <v>320</v>
      </c>
      <c r="AY91" s="52" t="s">
        <v>338</v>
      </c>
      <c r="AZ91" s="52" t="s">
        <v>334</v>
      </c>
      <c r="BA91" s="52" t="s">
        <v>333</v>
      </c>
      <c r="BB91" s="52" t="str">
        <f t="shared" si="16"/>
        <v>2025_BG_SMARTX_313_8_OtherRhiz</v>
      </c>
    </row>
    <row r="92" spans="32:54" x14ac:dyDescent="0.2">
      <c r="AF92" s="59" t="s">
        <v>160</v>
      </c>
      <c r="AG92" s="59" t="s">
        <v>161</v>
      </c>
      <c r="AH92" s="59" t="s">
        <v>210</v>
      </c>
      <c r="AI92" s="59" t="s">
        <v>226</v>
      </c>
      <c r="AJ92" s="59" t="s">
        <v>214</v>
      </c>
      <c r="AK92" s="59" t="s">
        <v>164</v>
      </c>
      <c r="AL92" s="59" t="str">
        <f t="shared" si="17"/>
        <v>2025_BG_Phrag_P12_1-3_FineRoots</v>
      </c>
      <c r="AN92" s="45" t="s">
        <v>160</v>
      </c>
      <c r="AO92" s="45" t="s">
        <v>161</v>
      </c>
      <c r="AP92" s="45" t="s">
        <v>320</v>
      </c>
      <c r="AQ92" s="45" t="s">
        <v>331</v>
      </c>
      <c r="AR92" s="45" t="s">
        <v>334</v>
      </c>
      <c r="AS92" s="45" t="s">
        <v>164</v>
      </c>
      <c r="AT92" s="45" t="str">
        <f t="shared" si="18"/>
        <v>2025_BG_SMARTX_462_8_FineRoots</v>
      </c>
      <c r="AV92" s="45" t="s">
        <v>160</v>
      </c>
      <c r="AW92" s="45" t="s">
        <v>161</v>
      </c>
      <c r="AX92" s="45" t="s">
        <v>320</v>
      </c>
      <c r="AY92" s="45" t="s">
        <v>339</v>
      </c>
      <c r="AZ92" s="45" t="s">
        <v>334</v>
      </c>
      <c r="BA92" s="45" t="s">
        <v>164</v>
      </c>
      <c r="BB92" s="45" t="str">
        <f t="shared" si="16"/>
        <v>2025_BG_SMARTX_320_8_FineRoots</v>
      </c>
    </row>
    <row r="93" spans="32:54" x14ac:dyDescent="0.2">
      <c r="AF93" s="59" t="s">
        <v>160</v>
      </c>
      <c r="AG93" s="59" t="s">
        <v>161</v>
      </c>
      <c r="AH93" s="59" t="s">
        <v>210</v>
      </c>
      <c r="AI93" s="59" t="s">
        <v>226</v>
      </c>
      <c r="AJ93" s="59" t="s">
        <v>214</v>
      </c>
      <c r="AK93" s="60" t="s">
        <v>165</v>
      </c>
      <c r="AL93" s="60" t="str">
        <f t="shared" si="17"/>
        <v>2025_BG_Phrag_P12_1-3_C3Rhiz</v>
      </c>
      <c r="AN93" s="45" t="s">
        <v>160</v>
      </c>
      <c r="AO93" s="45" t="s">
        <v>161</v>
      </c>
      <c r="AP93" s="45" t="s">
        <v>320</v>
      </c>
      <c r="AQ93" s="45" t="s">
        <v>331</v>
      </c>
      <c r="AR93" s="45" t="s">
        <v>334</v>
      </c>
      <c r="AS93" s="46" t="s">
        <v>165</v>
      </c>
      <c r="AT93" s="46" t="str">
        <f t="shared" si="18"/>
        <v>2025_BG_SMARTX_462_8_C3Rhiz</v>
      </c>
      <c r="AV93" s="45" t="s">
        <v>160</v>
      </c>
      <c r="AW93" s="45" t="s">
        <v>161</v>
      </c>
      <c r="AX93" s="45" t="s">
        <v>320</v>
      </c>
      <c r="AY93" s="45" t="s">
        <v>339</v>
      </c>
      <c r="AZ93" s="45" t="s">
        <v>334</v>
      </c>
      <c r="BA93" s="46" t="s">
        <v>165</v>
      </c>
      <c r="BB93" s="46" t="str">
        <f t="shared" si="16"/>
        <v>2025_BG_SMARTX_320_8_C3Rhiz</v>
      </c>
    </row>
    <row r="94" spans="32:54" x14ac:dyDescent="0.2">
      <c r="AF94" s="59" t="s">
        <v>160</v>
      </c>
      <c r="AG94" s="59" t="s">
        <v>161</v>
      </c>
      <c r="AH94" s="59" t="s">
        <v>210</v>
      </c>
      <c r="AI94" s="59" t="s">
        <v>226</v>
      </c>
      <c r="AJ94" s="59" t="s">
        <v>214</v>
      </c>
      <c r="AK94" s="59" t="s">
        <v>166</v>
      </c>
      <c r="AL94" s="59" t="str">
        <f t="shared" si="17"/>
        <v>2025_BG_Phrag_P12_1-3_C4Rhiz</v>
      </c>
      <c r="AN94" s="45" t="s">
        <v>160</v>
      </c>
      <c r="AO94" s="45" t="s">
        <v>161</v>
      </c>
      <c r="AP94" s="45" t="s">
        <v>320</v>
      </c>
      <c r="AQ94" s="45" t="s">
        <v>331</v>
      </c>
      <c r="AR94" s="45" t="s">
        <v>334</v>
      </c>
      <c r="AS94" s="45" t="s">
        <v>166</v>
      </c>
      <c r="AT94" s="45" t="str">
        <f t="shared" si="18"/>
        <v>2025_BG_SMARTX_462_8_C4Rhiz</v>
      </c>
      <c r="AV94" s="45" t="s">
        <v>160</v>
      </c>
      <c r="AW94" s="45" t="s">
        <v>161</v>
      </c>
      <c r="AX94" s="45" t="s">
        <v>320</v>
      </c>
      <c r="AY94" s="45" t="s">
        <v>339</v>
      </c>
      <c r="AZ94" s="45" t="s">
        <v>334</v>
      </c>
      <c r="BA94" s="45" t="s">
        <v>166</v>
      </c>
      <c r="BB94" s="45" t="str">
        <f t="shared" si="16"/>
        <v>2025_BG_SMARTX_320_8_C4Rhiz</v>
      </c>
    </row>
    <row r="95" spans="32:54" x14ac:dyDescent="0.2">
      <c r="AF95" s="59" t="s">
        <v>160</v>
      </c>
      <c r="AG95" s="59" t="s">
        <v>161</v>
      </c>
      <c r="AH95" s="59" t="s">
        <v>210</v>
      </c>
      <c r="AI95" s="59" t="s">
        <v>226</v>
      </c>
      <c r="AJ95" s="59" t="s">
        <v>214</v>
      </c>
      <c r="AK95" s="59" t="s">
        <v>209</v>
      </c>
      <c r="AL95" s="59" t="str">
        <f t="shared" si="17"/>
        <v>2025_BG_Phrag_P12_1-3_PhragRhiz</v>
      </c>
      <c r="AN95" s="45" t="s">
        <v>160</v>
      </c>
      <c r="AO95" s="45" t="s">
        <v>161</v>
      </c>
      <c r="AP95" s="45" t="s">
        <v>320</v>
      </c>
      <c r="AQ95" s="45" t="s">
        <v>331</v>
      </c>
      <c r="AR95" s="45" t="s">
        <v>334</v>
      </c>
      <c r="AS95" s="45" t="s">
        <v>333</v>
      </c>
      <c r="AT95" s="45" t="str">
        <f t="shared" si="18"/>
        <v>2025_BG_SMARTX_462_8_OtherRhiz</v>
      </c>
      <c r="AV95" s="45" t="s">
        <v>160</v>
      </c>
      <c r="AW95" s="45" t="s">
        <v>161</v>
      </c>
      <c r="AX95" s="45" t="s">
        <v>320</v>
      </c>
      <c r="AY95" s="45" t="s">
        <v>339</v>
      </c>
      <c r="AZ95" s="45" t="s">
        <v>334</v>
      </c>
      <c r="BA95" s="45" t="s">
        <v>333</v>
      </c>
      <c r="BB95" s="45" t="str">
        <f t="shared" si="16"/>
        <v>2025_BG_SMARTX_320_8_OtherRhiz</v>
      </c>
    </row>
    <row r="96" spans="32:54" x14ac:dyDescent="0.2">
      <c r="AF96" s="61" t="s">
        <v>160</v>
      </c>
      <c r="AG96" s="61" t="s">
        <v>161</v>
      </c>
      <c r="AH96" s="61" t="s">
        <v>210</v>
      </c>
      <c r="AI96" s="61" t="s">
        <v>226</v>
      </c>
      <c r="AJ96" s="61" t="s">
        <v>215</v>
      </c>
      <c r="AK96" s="61" t="s">
        <v>164</v>
      </c>
      <c r="AL96" s="61" t="str">
        <f t="shared" si="17"/>
        <v>2025_BG_Phrag_P12_4-6_FineRoots</v>
      </c>
      <c r="AN96" s="52" t="s">
        <v>160</v>
      </c>
      <c r="AO96" s="52" t="s">
        <v>161</v>
      </c>
      <c r="AP96" s="52" t="s">
        <v>320</v>
      </c>
      <c r="AQ96" s="52" t="s">
        <v>332</v>
      </c>
      <c r="AR96" s="52" t="s">
        <v>334</v>
      </c>
      <c r="AS96" s="52" t="s">
        <v>164</v>
      </c>
      <c r="AT96" s="52" t="str">
        <f t="shared" si="18"/>
        <v>2025_BG_SMARTX_463_8_FineRoots</v>
      </c>
      <c r="AV96" s="52" t="s">
        <v>160</v>
      </c>
      <c r="AW96" s="52" t="s">
        <v>161</v>
      </c>
      <c r="AX96" s="52" t="s">
        <v>320</v>
      </c>
      <c r="AY96" s="52" t="s">
        <v>340</v>
      </c>
      <c r="AZ96" s="52" t="s">
        <v>334</v>
      </c>
      <c r="BA96" s="52" t="s">
        <v>164</v>
      </c>
      <c r="BB96" s="52" t="str">
        <f t="shared" si="16"/>
        <v>2025_BG_SMARTX_321_8_FineRoots</v>
      </c>
    </row>
    <row r="97" spans="32:54" x14ac:dyDescent="0.2">
      <c r="AF97" s="61" t="s">
        <v>160</v>
      </c>
      <c r="AG97" s="61" t="s">
        <v>161</v>
      </c>
      <c r="AH97" s="61" t="s">
        <v>210</v>
      </c>
      <c r="AI97" s="61" t="s">
        <v>226</v>
      </c>
      <c r="AJ97" s="61" t="s">
        <v>215</v>
      </c>
      <c r="AK97" s="62" t="s">
        <v>165</v>
      </c>
      <c r="AL97" s="62" t="str">
        <f t="shared" si="17"/>
        <v>2025_BG_Phrag_P12_4-6_C3Rhiz</v>
      </c>
      <c r="AN97" s="52" t="s">
        <v>160</v>
      </c>
      <c r="AO97" s="52" t="s">
        <v>161</v>
      </c>
      <c r="AP97" s="52" t="s">
        <v>320</v>
      </c>
      <c r="AQ97" s="52" t="s">
        <v>332</v>
      </c>
      <c r="AR97" s="52" t="s">
        <v>334</v>
      </c>
      <c r="AS97" s="53" t="s">
        <v>165</v>
      </c>
      <c r="AT97" s="53" t="str">
        <f t="shared" si="18"/>
        <v>2025_BG_SMARTX_463_8_C3Rhiz</v>
      </c>
      <c r="AV97" s="52" t="s">
        <v>160</v>
      </c>
      <c r="AW97" s="52" t="s">
        <v>161</v>
      </c>
      <c r="AX97" s="52" t="s">
        <v>320</v>
      </c>
      <c r="AY97" s="52" t="s">
        <v>340</v>
      </c>
      <c r="AZ97" s="52" t="s">
        <v>334</v>
      </c>
      <c r="BA97" s="53" t="s">
        <v>165</v>
      </c>
      <c r="BB97" s="53" t="str">
        <f t="shared" si="16"/>
        <v>2025_BG_SMARTX_321_8_C3Rhiz</v>
      </c>
    </row>
    <row r="98" spans="32:54" x14ac:dyDescent="0.2">
      <c r="AF98" s="61" t="s">
        <v>160</v>
      </c>
      <c r="AG98" s="61" t="s">
        <v>161</v>
      </c>
      <c r="AH98" s="61" t="s">
        <v>210</v>
      </c>
      <c r="AI98" s="61" t="s">
        <v>226</v>
      </c>
      <c r="AJ98" s="61" t="s">
        <v>215</v>
      </c>
      <c r="AK98" s="61" t="s">
        <v>166</v>
      </c>
      <c r="AL98" s="61" t="str">
        <f t="shared" si="17"/>
        <v>2025_BG_Phrag_P12_4-6_C4Rhiz</v>
      </c>
      <c r="AN98" s="52" t="s">
        <v>160</v>
      </c>
      <c r="AO98" s="52" t="s">
        <v>161</v>
      </c>
      <c r="AP98" s="52" t="s">
        <v>320</v>
      </c>
      <c r="AQ98" s="52" t="s">
        <v>332</v>
      </c>
      <c r="AR98" s="52" t="s">
        <v>334</v>
      </c>
      <c r="AS98" s="52" t="s">
        <v>166</v>
      </c>
      <c r="AT98" s="52" t="str">
        <f t="shared" si="18"/>
        <v>2025_BG_SMARTX_463_8_C4Rhiz</v>
      </c>
      <c r="AV98" s="52" t="s">
        <v>160</v>
      </c>
      <c r="AW98" s="52" t="s">
        <v>161</v>
      </c>
      <c r="AX98" s="52" t="s">
        <v>320</v>
      </c>
      <c r="AY98" s="52" t="s">
        <v>340</v>
      </c>
      <c r="AZ98" s="52" t="s">
        <v>334</v>
      </c>
      <c r="BA98" s="52" t="s">
        <v>166</v>
      </c>
      <c r="BB98" s="52" t="str">
        <f t="shared" si="16"/>
        <v>2025_BG_SMARTX_321_8_C4Rhiz</v>
      </c>
    </row>
    <row r="99" spans="32:54" x14ac:dyDescent="0.2">
      <c r="AF99" s="61" t="s">
        <v>160</v>
      </c>
      <c r="AG99" s="61" t="s">
        <v>161</v>
      </c>
      <c r="AH99" s="61" t="s">
        <v>210</v>
      </c>
      <c r="AI99" s="61" t="s">
        <v>226</v>
      </c>
      <c r="AJ99" s="61" t="s">
        <v>215</v>
      </c>
      <c r="AK99" s="61" t="s">
        <v>209</v>
      </c>
      <c r="AL99" s="61" t="str">
        <f t="shared" si="17"/>
        <v>2025_BG_Phrag_P12_4-6_PhragRhiz</v>
      </c>
      <c r="AN99" s="52" t="s">
        <v>160</v>
      </c>
      <c r="AO99" s="52" t="s">
        <v>161</v>
      </c>
      <c r="AP99" s="52" t="s">
        <v>320</v>
      </c>
      <c r="AQ99" s="52" t="s">
        <v>332</v>
      </c>
      <c r="AR99" s="52" t="s">
        <v>334</v>
      </c>
      <c r="AS99" s="52" t="s">
        <v>333</v>
      </c>
      <c r="AT99" s="52" t="str">
        <f t="shared" si="18"/>
        <v>2025_BG_SMARTX_463_8_OtherRhiz</v>
      </c>
      <c r="AV99" s="52" t="s">
        <v>160</v>
      </c>
      <c r="AW99" s="52" t="s">
        <v>161</v>
      </c>
      <c r="AX99" s="52" t="s">
        <v>320</v>
      </c>
      <c r="AY99" s="52" t="s">
        <v>340</v>
      </c>
      <c r="AZ99" s="52" t="s">
        <v>334</v>
      </c>
      <c r="BA99" s="52" t="s">
        <v>333</v>
      </c>
      <c r="BB99" s="52" t="str">
        <f t="shared" si="16"/>
        <v>2025_BG_SMARTX_321_8_OtherRhiz</v>
      </c>
    </row>
    <row r="100" spans="32:54" x14ac:dyDescent="0.2">
      <c r="AV100" s="45" t="s">
        <v>160</v>
      </c>
      <c r="AW100" s="45" t="s">
        <v>161</v>
      </c>
      <c r="AX100" s="45" t="s">
        <v>320</v>
      </c>
      <c r="AY100" s="45" t="s">
        <v>341</v>
      </c>
      <c r="AZ100" s="45" t="s">
        <v>334</v>
      </c>
      <c r="BA100" s="45" t="s">
        <v>164</v>
      </c>
      <c r="BB100" s="45" t="str">
        <f t="shared" si="16"/>
        <v>2025_BG_SMARTX_322_8_FineRoots</v>
      </c>
    </row>
    <row r="101" spans="32:54" x14ac:dyDescent="0.2">
      <c r="AV101" s="45" t="s">
        <v>160</v>
      </c>
      <c r="AW101" s="45" t="s">
        <v>161</v>
      </c>
      <c r="AX101" s="45" t="s">
        <v>320</v>
      </c>
      <c r="AY101" s="45" t="s">
        <v>341</v>
      </c>
      <c r="AZ101" s="45" t="s">
        <v>334</v>
      </c>
      <c r="BA101" s="46" t="s">
        <v>165</v>
      </c>
      <c r="BB101" s="46" t="str">
        <f t="shared" si="16"/>
        <v>2025_BG_SMARTX_322_8_C3Rhiz</v>
      </c>
    </row>
    <row r="102" spans="32:54" x14ac:dyDescent="0.2">
      <c r="AV102" s="45" t="s">
        <v>160</v>
      </c>
      <c r="AW102" s="45" t="s">
        <v>161</v>
      </c>
      <c r="AX102" s="45" t="s">
        <v>320</v>
      </c>
      <c r="AY102" s="45" t="s">
        <v>341</v>
      </c>
      <c r="AZ102" s="45" t="s">
        <v>334</v>
      </c>
      <c r="BA102" s="45" t="s">
        <v>166</v>
      </c>
      <c r="BB102" s="45" t="str">
        <f t="shared" si="16"/>
        <v>2025_BG_SMARTX_322_8_C4Rhiz</v>
      </c>
    </row>
    <row r="103" spans="32:54" x14ac:dyDescent="0.2">
      <c r="AV103" s="45" t="s">
        <v>160</v>
      </c>
      <c r="AW103" s="45" t="s">
        <v>161</v>
      </c>
      <c r="AX103" s="45" t="s">
        <v>320</v>
      </c>
      <c r="AY103" s="45" t="s">
        <v>341</v>
      </c>
      <c r="AZ103" s="45" t="s">
        <v>334</v>
      </c>
      <c r="BA103" s="45" t="s">
        <v>333</v>
      </c>
      <c r="BB103" s="45" t="str">
        <f t="shared" si="16"/>
        <v>2025_BG_SMARTX_322_8_OtherRhiz</v>
      </c>
    </row>
    <row r="104" spans="32:54" x14ac:dyDescent="0.2">
      <c r="AV104" s="52" t="s">
        <v>160</v>
      </c>
      <c r="AW104" s="52" t="s">
        <v>161</v>
      </c>
      <c r="AX104" s="52" t="s">
        <v>320</v>
      </c>
      <c r="AY104" s="52" t="s">
        <v>342</v>
      </c>
      <c r="AZ104" s="52" t="s">
        <v>334</v>
      </c>
      <c r="BA104" s="52" t="s">
        <v>164</v>
      </c>
      <c r="BB104" s="52" t="str">
        <f t="shared" si="16"/>
        <v>2025_BG_SMARTX_323_8_FineRoots</v>
      </c>
    </row>
    <row r="105" spans="32:54" x14ac:dyDescent="0.2">
      <c r="AV105" s="52" t="s">
        <v>160</v>
      </c>
      <c r="AW105" s="52" t="s">
        <v>161</v>
      </c>
      <c r="AX105" s="52" t="s">
        <v>320</v>
      </c>
      <c r="AY105" s="52" t="s">
        <v>342</v>
      </c>
      <c r="AZ105" s="52" t="s">
        <v>334</v>
      </c>
      <c r="BA105" s="53" t="s">
        <v>165</v>
      </c>
      <c r="BB105" s="53" t="str">
        <f t="shared" si="16"/>
        <v>2025_BG_SMARTX_323_8_C3Rhiz</v>
      </c>
    </row>
    <row r="106" spans="32:54" x14ac:dyDescent="0.2">
      <c r="AV106" s="52" t="s">
        <v>160</v>
      </c>
      <c r="AW106" s="52" t="s">
        <v>161</v>
      </c>
      <c r="AX106" s="52" t="s">
        <v>320</v>
      </c>
      <c r="AY106" s="52" t="s">
        <v>342</v>
      </c>
      <c r="AZ106" s="52" t="s">
        <v>334</v>
      </c>
      <c r="BA106" s="52" t="s">
        <v>166</v>
      </c>
      <c r="BB106" s="52" t="str">
        <f t="shared" si="16"/>
        <v>2025_BG_SMARTX_323_8_C4Rhiz</v>
      </c>
    </row>
    <row r="107" spans="32:54" x14ac:dyDescent="0.2">
      <c r="AV107" s="52" t="s">
        <v>160</v>
      </c>
      <c r="AW107" s="52" t="s">
        <v>161</v>
      </c>
      <c r="AX107" s="52" t="s">
        <v>320</v>
      </c>
      <c r="AY107" s="52" t="s">
        <v>342</v>
      </c>
      <c r="AZ107" s="52" t="s">
        <v>334</v>
      </c>
      <c r="BA107" s="52" t="s">
        <v>333</v>
      </c>
      <c r="BB107" s="52" t="str">
        <f t="shared" si="16"/>
        <v>2025_BG_SMARTX_323_8_OtherRhiz</v>
      </c>
    </row>
    <row r="108" spans="32:54" x14ac:dyDescent="0.2">
      <c r="AV108" s="45" t="s">
        <v>160</v>
      </c>
      <c r="AW108" s="45" t="s">
        <v>161</v>
      </c>
      <c r="AX108" s="45" t="s">
        <v>320</v>
      </c>
      <c r="AY108" s="45" t="s">
        <v>343</v>
      </c>
      <c r="AZ108" s="45" t="s">
        <v>334</v>
      </c>
      <c r="BA108" s="45" t="s">
        <v>164</v>
      </c>
      <c r="BB108" s="45" t="str">
        <f t="shared" si="16"/>
        <v>2025_BG_SMARTX_330_8_FineRoots</v>
      </c>
    </row>
    <row r="109" spans="32:54" x14ac:dyDescent="0.2">
      <c r="AV109" s="45" t="s">
        <v>160</v>
      </c>
      <c r="AW109" s="45" t="s">
        <v>161</v>
      </c>
      <c r="AX109" s="45" t="s">
        <v>320</v>
      </c>
      <c r="AY109" s="45" t="s">
        <v>343</v>
      </c>
      <c r="AZ109" s="45" t="s">
        <v>334</v>
      </c>
      <c r="BA109" s="46" t="s">
        <v>165</v>
      </c>
      <c r="BB109" s="46" t="str">
        <f t="shared" si="16"/>
        <v>2025_BG_SMARTX_330_8_C3Rhiz</v>
      </c>
    </row>
    <row r="110" spans="32:54" x14ac:dyDescent="0.2">
      <c r="AV110" s="45" t="s">
        <v>160</v>
      </c>
      <c r="AW110" s="45" t="s">
        <v>161</v>
      </c>
      <c r="AX110" s="45" t="s">
        <v>320</v>
      </c>
      <c r="AY110" s="45" t="s">
        <v>343</v>
      </c>
      <c r="AZ110" s="45" t="s">
        <v>334</v>
      </c>
      <c r="BA110" s="45" t="s">
        <v>166</v>
      </c>
      <c r="BB110" s="45" t="str">
        <f t="shared" si="16"/>
        <v>2025_BG_SMARTX_330_8_C4Rhiz</v>
      </c>
    </row>
    <row r="111" spans="32:54" x14ac:dyDescent="0.2">
      <c r="AV111" s="45" t="s">
        <v>160</v>
      </c>
      <c r="AW111" s="45" t="s">
        <v>161</v>
      </c>
      <c r="AX111" s="45" t="s">
        <v>320</v>
      </c>
      <c r="AY111" s="45" t="s">
        <v>343</v>
      </c>
      <c r="AZ111" s="45" t="s">
        <v>334</v>
      </c>
      <c r="BA111" s="45" t="s">
        <v>333</v>
      </c>
      <c r="BB111" s="45" t="str">
        <f t="shared" si="16"/>
        <v>2025_BG_SMARTX_330_8_OtherRhiz</v>
      </c>
    </row>
    <row r="112" spans="32:54" x14ac:dyDescent="0.2">
      <c r="AV112" s="52" t="s">
        <v>160</v>
      </c>
      <c r="AW112" s="52" t="s">
        <v>161</v>
      </c>
      <c r="AX112" s="52" t="s">
        <v>320</v>
      </c>
      <c r="AY112" s="52" t="s">
        <v>344</v>
      </c>
      <c r="AZ112" s="52" t="s">
        <v>334</v>
      </c>
      <c r="BA112" s="52" t="s">
        <v>164</v>
      </c>
      <c r="BB112" s="52" t="str">
        <f t="shared" si="16"/>
        <v>2025_BG_SMARTX_331_8_FineRoots</v>
      </c>
    </row>
    <row r="113" spans="48:54" x14ac:dyDescent="0.2">
      <c r="AV113" s="52" t="s">
        <v>160</v>
      </c>
      <c r="AW113" s="52" t="s">
        <v>161</v>
      </c>
      <c r="AX113" s="52" t="s">
        <v>320</v>
      </c>
      <c r="AY113" s="52" t="s">
        <v>344</v>
      </c>
      <c r="AZ113" s="52" t="s">
        <v>334</v>
      </c>
      <c r="BA113" s="53" t="s">
        <v>165</v>
      </c>
      <c r="BB113" s="53" t="str">
        <f t="shared" si="16"/>
        <v>2025_BG_SMARTX_331_8_C3Rhiz</v>
      </c>
    </row>
    <row r="114" spans="48:54" x14ac:dyDescent="0.2">
      <c r="AV114" s="52" t="s">
        <v>160</v>
      </c>
      <c r="AW114" s="52" t="s">
        <v>161</v>
      </c>
      <c r="AX114" s="52" t="s">
        <v>320</v>
      </c>
      <c r="AY114" s="52" t="s">
        <v>344</v>
      </c>
      <c r="AZ114" s="52" t="s">
        <v>334</v>
      </c>
      <c r="BA114" s="52" t="s">
        <v>166</v>
      </c>
      <c r="BB114" s="52" t="str">
        <f t="shared" si="16"/>
        <v>2025_BG_SMARTX_331_8_C4Rhiz</v>
      </c>
    </row>
    <row r="115" spans="48:54" x14ac:dyDescent="0.2">
      <c r="AV115" s="52" t="s">
        <v>160</v>
      </c>
      <c r="AW115" s="52" t="s">
        <v>161</v>
      </c>
      <c r="AX115" s="52" t="s">
        <v>320</v>
      </c>
      <c r="AY115" s="52" t="s">
        <v>344</v>
      </c>
      <c r="AZ115" s="52" t="s">
        <v>334</v>
      </c>
      <c r="BA115" s="52" t="s">
        <v>333</v>
      </c>
      <c r="BB115" s="52" t="str">
        <f t="shared" si="16"/>
        <v>2025_BG_SMARTX_331_8_OtherRhiz</v>
      </c>
    </row>
    <row r="116" spans="48:54" x14ac:dyDescent="0.2">
      <c r="AV116" s="45" t="s">
        <v>160</v>
      </c>
      <c r="AW116" s="45" t="s">
        <v>161</v>
      </c>
      <c r="AX116" s="45" t="s">
        <v>320</v>
      </c>
      <c r="AY116" s="45" t="s">
        <v>345</v>
      </c>
      <c r="AZ116" s="45" t="s">
        <v>334</v>
      </c>
      <c r="BA116" s="45" t="s">
        <v>164</v>
      </c>
      <c r="BB116" s="45" t="str">
        <f t="shared" ref="BB116:BB147" si="19">_xlfn.CONCAT(AV116:BA116)</f>
        <v>2025_BG_SMARTX_332_8_FineRoots</v>
      </c>
    </row>
    <row r="117" spans="48:54" x14ac:dyDescent="0.2">
      <c r="AV117" s="45" t="s">
        <v>160</v>
      </c>
      <c r="AW117" s="45" t="s">
        <v>161</v>
      </c>
      <c r="AX117" s="45" t="s">
        <v>320</v>
      </c>
      <c r="AY117" s="45" t="s">
        <v>345</v>
      </c>
      <c r="AZ117" s="45" t="s">
        <v>334</v>
      </c>
      <c r="BA117" s="46" t="s">
        <v>165</v>
      </c>
      <c r="BB117" s="46" t="str">
        <f t="shared" si="19"/>
        <v>2025_BG_SMARTX_332_8_C3Rhiz</v>
      </c>
    </row>
    <row r="118" spans="48:54" x14ac:dyDescent="0.2">
      <c r="AV118" s="45" t="s">
        <v>160</v>
      </c>
      <c r="AW118" s="45" t="s">
        <v>161</v>
      </c>
      <c r="AX118" s="45" t="s">
        <v>320</v>
      </c>
      <c r="AY118" s="45" t="s">
        <v>345</v>
      </c>
      <c r="AZ118" s="45" t="s">
        <v>334</v>
      </c>
      <c r="BA118" s="45" t="s">
        <v>166</v>
      </c>
      <c r="BB118" s="45" t="str">
        <f t="shared" si="19"/>
        <v>2025_BG_SMARTX_332_8_C4Rhiz</v>
      </c>
    </row>
    <row r="119" spans="48:54" x14ac:dyDescent="0.2">
      <c r="AV119" s="45" t="s">
        <v>160</v>
      </c>
      <c r="AW119" s="45" t="s">
        <v>161</v>
      </c>
      <c r="AX119" s="45" t="s">
        <v>320</v>
      </c>
      <c r="AY119" s="45" t="s">
        <v>345</v>
      </c>
      <c r="AZ119" s="45" t="s">
        <v>334</v>
      </c>
      <c r="BA119" s="45" t="s">
        <v>333</v>
      </c>
      <c r="BB119" s="45" t="str">
        <f t="shared" si="19"/>
        <v>2025_BG_SMARTX_332_8_OtherRhiz</v>
      </c>
    </row>
    <row r="120" spans="48:54" x14ac:dyDescent="0.2">
      <c r="AV120" s="52" t="s">
        <v>160</v>
      </c>
      <c r="AW120" s="52" t="s">
        <v>161</v>
      </c>
      <c r="AX120" s="52" t="s">
        <v>320</v>
      </c>
      <c r="AY120" s="52" t="s">
        <v>346</v>
      </c>
      <c r="AZ120" s="52" t="s">
        <v>334</v>
      </c>
      <c r="BA120" s="52" t="s">
        <v>164</v>
      </c>
      <c r="BB120" s="52" t="str">
        <f t="shared" si="19"/>
        <v>2025_BG_SMARTX_333_8_FineRoots</v>
      </c>
    </row>
    <row r="121" spans="48:54" x14ac:dyDescent="0.2">
      <c r="AV121" s="52" t="s">
        <v>160</v>
      </c>
      <c r="AW121" s="52" t="s">
        <v>161</v>
      </c>
      <c r="AX121" s="52" t="s">
        <v>320</v>
      </c>
      <c r="AY121" s="52" t="s">
        <v>346</v>
      </c>
      <c r="AZ121" s="52" t="s">
        <v>334</v>
      </c>
      <c r="BA121" s="53" t="s">
        <v>165</v>
      </c>
      <c r="BB121" s="53" t="str">
        <f t="shared" si="19"/>
        <v>2025_BG_SMARTX_333_8_C3Rhiz</v>
      </c>
    </row>
    <row r="122" spans="48:54" x14ac:dyDescent="0.2">
      <c r="AV122" s="52" t="s">
        <v>160</v>
      </c>
      <c r="AW122" s="52" t="s">
        <v>161</v>
      </c>
      <c r="AX122" s="52" t="s">
        <v>320</v>
      </c>
      <c r="AY122" s="52" t="s">
        <v>346</v>
      </c>
      <c r="AZ122" s="52" t="s">
        <v>334</v>
      </c>
      <c r="BA122" s="52" t="s">
        <v>166</v>
      </c>
      <c r="BB122" s="52" t="str">
        <f t="shared" si="19"/>
        <v>2025_BG_SMARTX_333_8_C4Rhiz</v>
      </c>
    </row>
    <row r="123" spans="48:54" x14ac:dyDescent="0.2">
      <c r="AV123" s="52" t="s">
        <v>160</v>
      </c>
      <c r="AW123" s="52" t="s">
        <v>161</v>
      </c>
      <c r="AX123" s="52" t="s">
        <v>320</v>
      </c>
      <c r="AY123" s="52" t="s">
        <v>346</v>
      </c>
      <c r="AZ123" s="52" t="s">
        <v>334</v>
      </c>
      <c r="BA123" s="52" t="s">
        <v>333</v>
      </c>
      <c r="BB123" s="52" t="str">
        <f t="shared" si="19"/>
        <v>2025_BG_SMARTX_333_8_OtherRhiz</v>
      </c>
    </row>
    <row r="124" spans="48:54" x14ac:dyDescent="0.2">
      <c r="AV124" s="45" t="s">
        <v>160</v>
      </c>
      <c r="AW124" s="45" t="s">
        <v>161</v>
      </c>
      <c r="AX124" s="45" t="s">
        <v>320</v>
      </c>
      <c r="AY124" s="45" t="s">
        <v>347</v>
      </c>
      <c r="AZ124" s="45" t="s">
        <v>334</v>
      </c>
      <c r="BA124" s="45" t="s">
        <v>164</v>
      </c>
      <c r="BB124" s="45" t="str">
        <f t="shared" si="19"/>
        <v>2025_BG_SMARTX_610_8_FineRoots</v>
      </c>
    </row>
    <row r="125" spans="48:54" x14ac:dyDescent="0.2">
      <c r="AV125" s="45" t="s">
        <v>160</v>
      </c>
      <c r="AW125" s="45" t="s">
        <v>161</v>
      </c>
      <c r="AX125" s="45" t="s">
        <v>320</v>
      </c>
      <c r="AY125" s="45" t="s">
        <v>347</v>
      </c>
      <c r="AZ125" s="45" t="s">
        <v>334</v>
      </c>
      <c r="BA125" s="46" t="s">
        <v>165</v>
      </c>
      <c r="BB125" s="46" t="str">
        <f t="shared" si="19"/>
        <v>2025_BG_SMARTX_610_8_C3Rhiz</v>
      </c>
    </row>
    <row r="126" spans="48:54" x14ac:dyDescent="0.2">
      <c r="AV126" s="45" t="s">
        <v>160</v>
      </c>
      <c r="AW126" s="45" t="s">
        <v>161</v>
      </c>
      <c r="AX126" s="45" t="s">
        <v>320</v>
      </c>
      <c r="AY126" s="45" t="s">
        <v>347</v>
      </c>
      <c r="AZ126" s="45" t="s">
        <v>334</v>
      </c>
      <c r="BA126" s="45" t="s">
        <v>166</v>
      </c>
      <c r="BB126" s="45" t="str">
        <f t="shared" si="19"/>
        <v>2025_BG_SMARTX_610_8_C4Rhiz</v>
      </c>
    </row>
    <row r="127" spans="48:54" x14ac:dyDescent="0.2">
      <c r="AV127" s="45" t="s">
        <v>160</v>
      </c>
      <c r="AW127" s="45" t="s">
        <v>161</v>
      </c>
      <c r="AX127" s="45" t="s">
        <v>320</v>
      </c>
      <c r="AY127" s="45" t="s">
        <v>347</v>
      </c>
      <c r="AZ127" s="45" t="s">
        <v>334</v>
      </c>
      <c r="BA127" s="45" t="s">
        <v>333</v>
      </c>
      <c r="BB127" s="45" t="str">
        <f t="shared" si="19"/>
        <v>2025_BG_SMARTX_610_8_OtherRhiz</v>
      </c>
    </row>
    <row r="128" spans="48:54" x14ac:dyDescent="0.2">
      <c r="AV128" s="52" t="s">
        <v>160</v>
      </c>
      <c r="AW128" s="52" t="s">
        <v>161</v>
      </c>
      <c r="AX128" s="52" t="s">
        <v>320</v>
      </c>
      <c r="AY128" s="52" t="s">
        <v>348</v>
      </c>
      <c r="AZ128" s="52" t="s">
        <v>334</v>
      </c>
      <c r="BA128" s="52" t="s">
        <v>164</v>
      </c>
      <c r="BB128" s="52" t="str">
        <f t="shared" si="19"/>
        <v>2025_BG_SMARTX_613_8_FineRoots</v>
      </c>
    </row>
    <row r="129" spans="48:54" x14ac:dyDescent="0.2">
      <c r="AV129" s="52" t="s">
        <v>160</v>
      </c>
      <c r="AW129" s="52" t="s">
        <v>161</v>
      </c>
      <c r="AX129" s="52" t="s">
        <v>320</v>
      </c>
      <c r="AY129" s="52" t="s">
        <v>348</v>
      </c>
      <c r="AZ129" s="52" t="s">
        <v>334</v>
      </c>
      <c r="BA129" s="53" t="s">
        <v>165</v>
      </c>
      <c r="BB129" s="53" t="str">
        <f t="shared" si="19"/>
        <v>2025_BG_SMARTX_613_8_C3Rhiz</v>
      </c>
    </row>
    <row r="130" spans="48:54" x14ac:dyDescent="0.2">
      <c r="AV130" s="52" t="s">
        <v>160</v>
      </c>
      <c r="AW130" s="52" t="s">
        <v>161</v>
      </c>
      <c r="AX130" s="52" t="s">
        <v>320</v>
      </c>
      <c r="AY130" s="52" t="s">
        <v>348</v>
      </c>
      <c r="AZ130" s="52" t="s">
        <v>334</v>
      </c>
      <c r="BA130" s="52" t="s">
        <v>166</v>
      </c>
      <c r="BB130" s="52" t="str">
        <f t="shared" si="19"/>
        <v>2025_BG_SMARTX_613_8_C4Rhiz</v>
      </c>
    </row>
    <row r="131" spans="48:54" x14ac:dyDescent="0.2">
      <c r="AV131" s="52" t="s">
        <v>160</v>
      </c>
      <c r="AW131" s="52" t="s">
        <v>161</v>
      </c>
      <c r="AX131" s="52" t="s">
        <v>320</v>
      </c>
      <c r="AY131" s="52" t="s">
        <v>348</v>
      </c>
      <c r="AZ131" s="52" t="s">
        <v>334</v>
      </c>
      <c r="BA131" s="52" t="s">
        <v>333</v>
      </c>
      <c r="BB131" s="52" t="str">
        <f t="shared" si="19"/>
        <v>2025_BG_SMARTX_613_8_OtherRhiz</v>
      </c>
    </row>
    <row r="132" spans="48:54" x14ac:dyDescent="0.2">
      <c r="AV132" s="45" t="s">
        <v>160</v>
      </c>
      <c r="AW132" s="45" t="s">
        <v>161</v>
      </c>
      <c r="AX132" s="45" t="s">
        <v>320</v>
      </c>
      <c r="AY132" s="45" t="s">
        <v>349</v>
      </c>
      <c r="AZ132" s="45" t="s">
        <v>334</v>
      </c>
      <c r="BA132" s="45" t="s">
        <v>164</v>
      </c>
      <c r="BB132" s="45" t="str">
        <f t="shared" si="19"/>
        <v>2025_BG_SMARTX_620_8_FineRoots</v>
      </c>
    </row>
    <row r="133" spans="48:54" x14ac:dyDescent="0.2">
      <c r="AV133" s="45" t="s">
        <v>160</v>
      </c>
      <c r="AW133" s="45" t="s">
        <v>161</v>
      </c>
      <c r="AX133" s="45" t="s">
        <v>320</v>
      </c>
      <c r="AY133" s="45" t="s">
        <v>349</v>
      </c>
      <c r="AZ133" s="45" t="s">
        <v>334</v>
      </c>
      <c r="BA133" s="46" t="s">
        <v>165</v>
      </c>
      <c r="BB133" s="46" t="str">
        <f t="shared" si="19"/>
        <v>2025_BG_SMARTX_620_8_C3Rhiz</v>
      </c>
    </row>
    <row r="134" spans="48:54" x14ac:dyDescent="0.2">
      <c r="AV134" s="45" t="s">
        <v>160</v>
      </c>
      <c r="AW134" s="45" t="s">
        <v>161</v>
      </c>
      <c r="AX134" s="45" t="s">
        <v>320</v>
      </c>
      <c r="AY134" s="45" t="s">
        <v>349</v>
      </c>
      <c r="AZ134" s="45" t="s">
        <v>334</v>
      </c>
      <c r="BA134" s="45" t="s">
        <v>166</v>
      </c>
      <c r="BB134" s="45" t="str">
        <f t="shared" si="19"/>
        <v>2025_BG_SMARTX_620_8_C4Rhiz</v>
      </c>
    </row>
    <row r="135" spans="48:54" x14ac:dyDescent="0.2">
      <c r="AV135" s="45" t="s">
        <v>160</v>
      </c>
      <c r="AW135" s="45" t="s">
        <v>161</v>
      </c>
      <c r="AX135" s="45" t="s">
        <v>320</v>
      </c>
      <c r="AY135" s="45" t="s">
        <v>349</v>
      </c>
      <c r="AZ135" s="45" t="s">
        <v>334</v>
      </c>
      <c r="BA135" s="45" t="s">
        <v>333</v>
      </c>
      <c r="BB135" s="45" t="str">
        <f t="shared" si="19"/>
        <v>2025_BG_SMARTX_620_8_OtherRhiz</v>
      </c>
    </row>
    <row r="136" spans="48:54" x14ac:dyDescent="0.2">
      <c r="AV136" s="52" t="s">
        <v>160</v>
      </c>
      <c r="AW136" s="52" t="s">
        <v>161</v>
      </c>
      <c r="AX136" s="52" t="s">
        <v>320</v>
      </c>
      <c r="AY136" s="52" t="s">
        <v>350</v>
      </c>
      <c r="AZ136" s="52" t="s">
        <v>334</v>
      </c>
      <c r="BA136" s="52" t="s">
        <v>164</v>
      </c>
      <c r="BB136" s="52" t="str">
        <f t="shared" si="19"/>
        <v>2025_BG_SMARTX_623_8_FineRoots</v>
      </c>
    </row>
    <row r="137" spans="48:54" x14ac:dyDescent="0.2">
      <c r="AV137" s="52" t="s">
        <v>160</v>
      </c>
      <c r="AW137" s="52" t="s">
        <v>161</v>
      </c>
      <c r="AX137" s="52" t="s">
        <v>320</v>
      </c>
      <c r="AY137" s="52" t="s">
        <v>350</v>
      </c>
      <c r="AZ137" s="52" t="s">
        <v>334</v>
      </c>
      <c r="BA137" s="53" t="s">
        <v>165</v>
      </c>
      <c r="BB137" s="53" t="str">
        <f t="shared" si="19"/>
        <v>2025_BG_SMARTX_623_8_C3Rhiz</v>
      </c>
    </row>
    <row r="138" spans="48:54" x14ac:dyDescent="0.2">
      <c r="AV138" s="52" t="s">
        <v>160</v>
      </c>
      <c r="AW138" s="52" t="s">
        <v>161</v>
      </c>
      <c r="AX138" s="52" t="s">
        <v>320</v>
      </c>
      <c r="AY138" s="52" t="s">
        <v>350</v>
      </c>
      <c r="AZ138" s="52" t="s">
        <v>334</v>
      </c>
      <c r="BA138" s="52" t="s">
        <v>166</v>
      </c>
      <c r="BB138" s="52" t="str">
        <f t="shared" si="19"/>
        <v>2025_BG_SMARTX_623_8_C4Rhiz</v>
      </c>
    </row>
    <row r="139" spans="48:54" x14ac:dyDescent="0.2">
      <c r="AV139" s="52" t="s">
        <v>160</v>
      </c>
      <c r="AW139" s="52" t="s">
        <v>161</v>
      </c>
      <c r="AX139" s="52" t="s">
        <v>320</v>
      </c>
      <c r="AY139" s="52" t="s">
        <v>350</v>
      </c>
      <c r="AZ139" s="52" t="s">
        <v>334</v>
      </c>
      <c r="BA139" s="52" t="s">
        <v>333</v>
      </c>
      <c r="BB139" s="52" t="str">
        <f t="shared" si="19"/>
        <v>2025_BG_SMARTX_623_8_OtherRhiz</v>
      </c>
    </row>
    <row r="140" spans="48:54" x14ac:dyDescent="0.2">
      <c r="AV140" s="45" t="s">
        <v>160</v>
      </c>
      <c r="AW140" s="45" t="s">
        <v>161</v>
      </c>
      <c r="AX140" s="45" t="s">
        <v>320</v>
      </c>
      <c r="AY140" s="45" t="s">
        <v>351</v>
      </c>
      <c r="AZ140" s="45" t="s">
        <v>334</v>
      </c>
      <c r="BA140" s="45" t="s">
        <v>164</v>
      </c>
      <c r="BB140" s="45" t="str">
        <f t="shared" si="19"/>
        <v>2025_BG_SMARTX_630_8_FineRoots</v>
      </c>
    </row>
    <row r="141" spans="48:54" x14ac:dyDescent="0.2">
      <c r="AV141" s="45" t="s">
        <v>160</v>
      </c>
      <c r="AW141" s="45" t="s">
        <v>161</v>
      </c>
      <c r="AX141" s="45" t="s">
        <v>320</v>
      </c>
      <c r="AY141" s="45" t="s">
        <v>351</v>
      </c>
      <c r="AZ141" s="45" t="s">
        <v>334</v>
      </c>
      <c r="BA141" s="46" t="s">
        <v>165</v>
      </c>
      <c r="BB141" s="46" t="str">
        <f t="shared" si="19"/>
        <v>2025_BG_SMARTX_630_8_C3Rhiz</v>
      </c>
    </row>
    <row r="142" spans="48:54" x14ac:dyDescent="0.2">
      <c r="AV142" s="45" t="s">
        <v>160</v>
      </c>
      <c r="AW142" s="45" t="s">
        <v>161</v>
      </c>
      <c r="AX142" s="45" t="s">
        <v>320</v>
      </c>
      <c r="AY142" s="45" t="s">
        <v>351</v>
      </c>
      <c r="AZ142" s="45" t="s">
        <v>334</v>
      </c>
      <c r="BA142" s="45" t="s">
        <v>166</v>
      </c>
      <c r="BB142" s="45" t="str">
        <f t="shared" si="19"/>
        <v>2025_BG_SMARTX_630_8_C4Rhiz</v>
      </c>
    </row>
    <row r="143" spans="48:54" x14ac:dyDescent="0.2">
      <c r="AV143" s="45" t="s">
        <v>160</v>
      </c>
      <c r="AW143" s="45" t="s">
        <v>161</v>
      </c>
      <c r="AX143" s="45" t="s">
        <v>320</v>
      </c>
      <c r="AY143" s="45" t="s">
        <v>351</v>
      </c>
      <c r="AZ143" s="45" t="s">
        <v>334</v>
      </c>
      <c r="BA143" s="45" t="s">
        <v>333</v>
      </c>
      <c r="BB143" s="45" t="str">
        <f t="shared" si="19"/>
        <v>2025_BG_SMARTX_630_8_OtherRhiz</v>
      </c>
    </row>
    <row r="144" spans="48:54" x14ac:dyDescent="0.2">
      <c r="AV144" s="52" t="s">
        <v>160</v>
      </c>
      <c r="AW144" s="52" t="s">
        <v>161</v>
      </c>
      <c r="AX144" s="52" t="s">
        <v>320</v>
      </c>
      <c r="AY144" s="52" t="s">
        <v>352</v>
      </c>
      <c r="AZ144" s="52" t="s">
        <v>334</v>
      </c>
      <c r="BA144" s="52" t="s">
        <v>164</v>
      </c>
      <c r="BB144" s="52" t="str">
        <f t="shared" si="19"/>
        <v>2025_BG_SMARTX_633_8_FineRoots</v>
      </c>
    </row>
    <row r="145" spans="48:54" x14ac:dyDescent="0.2">
      <c r="AV145" s="52" t="s">
        <v>160</v>
      </c>
      <c r="AW145" s="52" t="s">
        <v>161</v>
      </c>
      <c r="AX145" s="52" t="s">
        <v>320</v>
      </c>
      <c r="AY145" s="52" t="s">
        <v>352</v>
      </c>
      <c r="AZ145" s="52" t="s">
        <v>334</v>
      </c>
      <c r="BA145" s="53" t="s">
        <v>165</v>
      </c>
      <c r="BB145" s="53" t="str">
        <f t="shared" si="19"/>
        <v>2025_BG_SMARTX_633_8_C3Rhiz</v>
      </c>
    </row>
    <row r="146" spans="48:54" x14ac:dyDescent="0.2">
      <c r="AV146" s="52" t="s">
        <v>160</v>
      </c>
      <c r="AW146" s="52" t="s">
        <v>161</v>
      </c>
      <c r="AX146" s="52" t="s">
        <v>320</v>
      </c>
      <c r="AY146" s="52" t="s">
        <v>352</v>
      </c>
      <c r="AZ146" s="52" t="s">
        <v>334</v>
      </c>
      <c r="BA146" s="52" t="s">
        <v>166</v>
      </c>
      <c r="BB146" s="52" t="str">
        <f t="shared" si="19"/>
        <v>2025_BG_SMARTX_633_8_C4Rhiz</v>
      </c>
    </row>
    <row r="147" spans="48:54" x14ac:dyDescent="0.2">
      <c r="AV147" s="52" t="s">
        <v>160</v>
      </c>
      <c r="AW147" s="52" t="s">
        <v>161</v>
      </c>
      <c r="AX147" s="52" t="s">
        <v>320</v>
      </c>
      <c r="AY147" s="52" t="s">
        <v>352</v>
      </c>
      <c r="AZ147" s="52" t="s">
        <v>334</v>
      </c>
      <c r="BA147" s="52" t="s">
        <v>333</v>
      </c>
      <c r="BB147" s="52" t="str">
        <f t="shared" si="19"/>
        <v>2025_BG_SMARTX_633_8_OtherRhiz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 1M 2of2, 2M, Phrag, SMARTX</vt:lpstr>
      <vt:lpstr>2025 SMARTX 2of2</vt:lpstr>
      <vt:lpstr>Copyable - Data Sheet</vt:lpstr>
      <vt:lpstr>Formula sheet</vt:lpstr>
    </vt:vector>
  </TitlesOfParts>
  <Company>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Fisher, Jillian, J</cp:lastModifiedBy>
  <cp:lastPrinted>2026-04-30T13:00:49Z</cp:lastPrinted>
  <dcterms:created xsi:type="dcterms:W3CDTF">2008-06-02T18:31:45Z</dcterms:created>
  <dcterms:modified xsi:type="dcterms:W3CDTF">2026-05-12T20:13:25Z</dcterms:modified>
</cp:coreProperties>
</file>