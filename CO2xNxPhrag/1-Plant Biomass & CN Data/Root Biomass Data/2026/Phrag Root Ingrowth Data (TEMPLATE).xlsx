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S:\Biogeochemistry\GCREW\3-PhragmitesxCO2xN Experiment\1-Plant Biomass &amp; CN Data\Root Biomass Data\2025\"/>
    </mc:Choice>
  </mc:AlternateContent>
  <xr:revisionPtr revIDLastSave="0" documentId="13_ncr:1_{CEA46536-46B1-4978-BE6C-F999DC12D0AD}" xr6:coauthVersionLast="47" xr6:coauthVersionMax="47" xr10:uidLastSave="{00000000-0000-0000-0000-000000000000}"/>
  <bookViews>
    <workbookView xWindow="2880" yWindow="0" windowWidth="19410" windowHeight="11295" xr2:uid="{00000000-000D-0000-FFFF-FFFF00000000}"/>
  </bookViews>
  <sheets>
    <sheet name="Raw Data Entry" sheetId="2" r:id="rId1"/>
    <sheet name="Calcula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8" i="1" l="1"/>
  <c r="M44" i="1"/>
  <c r="U9" i="1" s="1"/>
  <c r="AC9" i="1" s="1"/>
  <c r="M50" i="1"/>
  <c r="U10" i="1" s="1"/>
  <c r="AC10" i="1" s="1"/>
  <c r="M56" i="1"/>
  <c r="U11" i="1" s="1"/>
  <c r="AC11" i="1" s="1"/>
  <c r="M62" i="1"/>
  <c r="U12" i="1" s="1"/>
  <c r="AC12" i="1" s="1"/>
  <c r="M68" i="1"/>
  <c r="U13" i="1" s="1"/>
  <c r="AC13" i="1" s="1"/>
  <c r="K44" i="1"/>
  <c r="K50" i="1"/>
  <c r="T10" i="1" s="1"/>
  <c r="AB10" i="1" s="1"/>
  <c r="K56" i="1"/>
  <c r="K62" i="1"/>
  <c r="K68" i="1"/>
  <c r="K38" i="1"/>
  <c r="T8" i="1" s="1"/>
  <c r="AB8" i="1" s="1"/>
  <c r="T9" i="1"/>
  <c r="AB9" i="1" s="1"/>
  <c r="T12" i="1"/>
  <c r="AB12" i="1" s="1"/>
  <c r="J50" i="1"/>
  <c r="S10" i="1" s="1"/>
  <c r="AA10" i="1" s="1"/>
  <c r="J56" i="1"/>
  <c r="S11" i="1" s="1"/>
  <c r="AA11" i="1" s="1"/>
  <c r="J62" i="1"/>
  <c r="S12" i="1" s="1"/>
  <c r="AA12" i="1" s="1"/>
  <c r="J68" i="1"/>
  <c r="S13" i="1" s="1"/>
  <c r="AA13" i="1" s="1"/>
  <c r="J44" i="1"/>
  <c r="S9" i="1" s="1"/>
  <c r="AA9" i="1" s="1"/>
  <c r="P68" i="1"/>
  <c r="X13" i="1" s="1"/>
  <c r="AF13" i="1" s="1"/>
  <c r="O68" i="1"/>
  <c r="W13" i="1" s="1"/>
  <c r="AE13" i="1" s="1"/>
  <c r="N68" i="1"/>
  <c r="V13" i="1" s="1"/>
  <c r="AD13" i="1" s="1"/>
  <c r="T13" i="1"/>
  <c r="AB13" i="1" s="1"/>
  <c r="I68" i="1"/>
  <c r="P62" i="1"/>
  <c r="X12" i="1" s="1"/>
  <c r="AF12" i="1" s="1"/>
  <c r="O62" i="1"/>
  <c r="W12" i="1" s="1"/>
  <c r="AE12" i="1" s="1"/>
  <c r="N62" i="1"/>
  <c r="V12" i="1" s="1"/>
  <c r="AD12" i="1" s="1"/>
  <c r="I62" i="1"/>
  <c r="P56" i="1"/>
  <c r="X11" i="1" s="1"/>
  <c r="AF11" i="1" s="1"/>
  <c r="O56" i="1"/>
  <c r="W11" i="1" s="1"/>
  <c r="AE11" i="1" s="1"/>
  <c r="N56" i="1"/>
  <c r="V11" i="1" s="1"/>
  <c r="AD11" i="1" s="1"/>
  <c r="T11" i="1"/>
  <c r="AB11" i="1" s="1"/>
  <c r="I56" i="1"/>
  <c r="P50" i="1"/>
  <c r="X10" i="1" s="1"/>
  <c r="AF10" i="1" s="1"/>
  <c r="O50" i="1"/>
  <c r="W10" i="1" s="1"/>
  <c r="AE10" i="1" s="1"/>
  <c r="N50" i="1"/>
  <c r="V10" i="1" s="1"/>
  <c r="AD10" i="1" s="1"/>
  <c r="I50" i="1"/>
  <c r="P44" i="1"/>
  <c r="X9" i="1" s="1"/>
  <c r="AF9" i="1" s="1"/>
  <c r="O44" i="1"/>
  <c r="W9" i="1" s="1"/>
  <c r="AE9" i="1" s="1"/>
  <c r="N44" i="1"/>
  <c r="V9" i="1" s="1"/>
  <c r="AD9" i="1" s="1"/>
  <c r="I44" i="1"/>
  <c r="P38" i="1"/>
  <c r="X8" i="1" s="1"/>
  <c r="AF8" i="1" s="1"/>
  <c r="O38" i="1"/>
  <c r="W8" i="1" s="1"/>
  <c r="AE8" i="1" s="1"/>
  <c r="N38" i="1"/>
  <c r="V8" i="1" s="1"/>
  <c r="AD8" i="1" s="1"/>
  <c r="U8" i="1"/>
  <c r="AC8" i="1" s="1"/>
  <c r="J38" i="1"/>
  <c r="S8" i="1" s="1"/>
  <c r="AA8" i="1" s="1"/>
  <c r="I38" i="1"/>
  <c r="P32" i="1"/>
  <c r="X7" i="1" s="1"/>
  <c r="AF7" i="1" s="1"/>
  <c r="O32" i="1"/>
  <c r="W7" i="1" s="1"/>
  <c r="AE7" i="1" s="1"/>
  <c r="N32" i="1"/>
  <c r="V7" i="1" s="1"/>
  <c r="AD7" i="1" s="1"/>
  <c r="M32" i="1"/>
  <c r="U7" i="1" s="1"/>
  <c r="AC7" i="1" s="1"/>
  <c r="K32" i="1"/>
  <c r="T7" i="1" s="1"/>
  <c r="AB7" i="1" s="1"/>
  <c r="J32" i="1"/>
  <c r="S7" i="1" s="1"/>
  <c r="AA7" i="1" s="1"/>
  <c r="I32" i="1"/>
  <c r="P26" i="1"/>
  <c r="X6" i="1" s="1"/>
  <c r="AF6" i="1" s="1"/>
  <c r="O26" i="1"/>
  <c r="W6" i="1" s="1"/>
  <c r="AE6" i="1" s="1"/>
  <c r="N26" i="1"/>
  <c r="V6" i="1" s="1"/>
  <c r="AD6" i="1" s="1"/>
  <c r="M26" i="1"/>
  <c r="U6" i="1" s="1"/>
  <c r="AC6" i="1" s="1"/>
  <c r="K26" i="1"/>
  <c r="T6" i="1" s="1"/>
  <c r="AB6" i="1" s="1"/>
  <c r="J26" i="1"/>
  <c r="S6" i="1" s="1"/>
  <c r="AA6" i="1" s="1"/>
  <c r="I26" i="1"/>
  <c r="P20" i="1"/>
  <c r="X5" i="1" s="1"/>
  <c r="AF5" i="1" s="1"/>
  <c r="O20" i="1"/>
  <c r="W5" i="1" s="1"/>
  <c r="AE5" i="1" s="1"/>
  <c r="N20" i="1"/>
  <c r="V5" i="1" s="1"/>
  <c r="AD5" i="1" s="1"/>
  <c r="M20" i="1"/>
  <c r="U5" i="1" s="1"/>
  <c r="AC5" i="1" s="1"/>
  <c r="K20" i="1"/>
  <c r="T5" i="1" s="1"/>
  <c r="AB5" i="1" s="1"/>
  <c r="J20" i="1"/>
  <c r="S5" i="1" s="1"/>
  <c r="AA5" i="1" s="1"/>
  <c r="I20" i="1"/>
  <c r="P14" i="1"/>
  <c r="X4" i="1" s="1"/>
  <c r="AF4" i="1" s="1"/>
  <c r="O14" i="1"/>
  <c r="W4" i="1" s="1"/>
  <c r="AE4" i="1" s="1"/>
  <c r="N14" i="1"/>
  <c r="M14" i="1"/>
  <c r="U4" i="1" s="1"/>
  <c r="AC4" i="1" s="1"/>
  <c r="K14" i="1"/>
  <c r="T4" i="1" s="1"/>
  <c r="AB4" i="1" s="1"/>
  <c r="J14" i="1"/>
  <c r="S4" i="1" s="1"/>
  <c r="AA4" i="1" s="1"/>
  <c r="I14" i="1"/>
  <c r="P8" i="1"/>
  <c r="X3" i="1" s="1"/>
  <c r="AF3" i="1" s="1"/>
  <c r="O8" i="1"/>
  <c r="W3" i="1" s="1"/>
  <c r="AE3" i="1" s="1"/>
  <c r="N8" i="1"/>
  <c r="V3" i="1" s="1"/>
  <c r="AD3" i="1" s="1"/>
  <c r="M8" i="1"/>
  <c r="U3" i="1" s="1"/>
  <c r="AC3" i="1" s="1"/>
  <c r="K8" i="1"/>
  <c r="T3" i="1" s="1"/>
  <c r="AB3" i="1" s="1"/>
  <c r="J8" i="1"/>
  <c r="S3" i="1" s="1"/>
  <c r="AA3" i="1" s="1"/>
  <c r="I8" i="1"/>
  <c r="V4" i="1"/>
  <c r="AD4" i="1" s="1"/>
  <c r="P2" i="1"/>
  <c r="X2" i="1" s="1"/>
  <c r="AF2" i="1" s="1"/>
  <c r="O2" i="1"/>
  <c r="W2" i="1" s="1"/>
  <c r="AE2" i="1" s="1"/>
  <c r="N2" i="1"/>
  <c r="V2" i="1" s="1"/>
  <c r="AD2" i="1" s="1"/>
  <c r="M2" i="1"/>
  <c r="U2" i="1" s="1"/>
  <c r="AC2" i="1" s="1"/>
  <c r="K2" i="1"/>
  <c r="T2" i="1" s="1"/>
  <c r="AB2" i="1" s="1"/>
  <c r="J2" i="1"/>
  <c r="S2" i="1" s="1"/>
  <c r="AA2" i="1" s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B528EBA0-4A49-4337-8ED6-CECB0A0537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Other root&amp;rhizome dry weight (g)</t>
        </r>
      </text>
    </comment>
  </commentList>
</comments>
</file>

<file path=xl/sharedStrings.xml><?xml version="1.0" encoding="utf-8"?>
<sst xmlns="http://schemas.openxmlformats.org/spreadsheetml/2006/main" count="186" uniqueCount="42">
  <si>
    <t>Chamber</t>
  </si>
  <si>
    <t>Core</t>
  </si>
  <si>
    <t>Fine roots (g)</t>
  </si>
  <si>
    <t>Sc Rhizome (g)</t>
  </si>
  <si>
    <t>Grass rhizome (g)</t>
  </si>
  <si>
    <t>Ph Rhizomes (g)</t>
  </si>
  <si>
    <t>other (g)</t>
  </si>
  <si>
    <t>Notes</t>
  </si>
  <si>
    <t>Root Phrag</t>
  </si>
  <si>
    <t>Root Native</t>
  </si>
  <si>
    <t>Chamber root</t>
  </si>
  <si>
    <t>Sc Rhizome</t>
  </si>
  <si>
    <t>Grass Rhizo</t>
  </si>
  <si>
    <t>Phrag rhizome</t>
  </si>
  <si>
    <t>Root Phrag g m2</t>
  </si>
  <si>
    <t>Root Native g m2</t>
  </si>
  <si>
    <t>Chamber root g m2</t>
  </si>
  <si>
    <t>Sc Rhizome g m2</t>
  </si>
  <si>
    <t>Grass Rhizo g m2</t>
  </si>
  <si>
    <t>Phrag rhizome g m2</t>
  </si>
  <si>
    <t>a</t>
  </si>
  <si>
    <t>b</t>
  </si>
  <si>
    <t>d</t>
  </si>
  <si>
    <t>c</t>
  </si>
  <si>
    <t>e</t>
  </si>
  <si>
    <t>f</t>
  </si>
  <si>
    <t>CO2</t>
  </si>
  <si>
    <t>Nitrogen</t>
  </si>
  <si>
    <t>Treatment</t>
  </si>
  <si>
    <t>Category</t>
  </si>
  <si>
    <t>RootMass</t>
  </si>
  <si>
    <t>C3RhizMass</t>
  </si>
  <si>
    <t>C4RhizMass</t>
  </si>
  <si>
    <t>PhragRhizMass</t>
  </si>
  <si>
    <t>OtherMass</t>
  </si>
  <si>
    <t>A</t>
  </si>
  <si>
    <t>B</t>
  </si>
  <si>
    <t>C</t>
  </si>
  <si>
    <t>D</t>
  </si>
  <si>
    <t>E</t>
  </si>
  <si>
    <t>F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</si>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</sst>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1" xfId="0" applyFill="1" applyBorder="1"/>
    <xf numFmtId="0" fontId="1" fillId="0" borderId="0" xfId="0" applyFont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1" fillId="0" borderId="17" xfId="0" applyFont="1" applyBorder="1"/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213C-0820-424F-AC28-7437054727DF}">
  <dimension ref="A1:L73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2" max="5" width="9.140625" style="25"/>
    <col min="6" max="6" width="9.140625" style="26"/>
    <col min="7" max="7" width="9.140625" style="25"/>
    <col min="8" max="8" width="9.7109375" bestFit="1" customWidth="1"/>
    <col min="9" max="10" width="11.42578125" bestFit="1" customWidth="1"/>
    <col min="11" max="11" width="14.42578125" bestFit="1" customWidth="1"/>
    <col min="12" max="12" width="10.7109375" bestFit="1" customWidth="1"/>
  </cols>
  <sheetData>
    <row r="1" spans="1:12" ht="15.75" thickBot="1" x14ac:dyDescent="0.3">
      <c r="A1" s="28" t="s">
        <v>41</v>
      </c>
      <c r="B1" s="28" t="s">
        <v>0</v>
      </c>
      <c r="C1" s="28" t="s">
        <v>26</v>
      </c>
      <c r="D1" s="28" t="s">
        <v>27</v>
      </c>
      <c r="E1" s="28" t="s">
        <v>28</v>
      </c>
      <c r="F1" s="29" t="s">
        <v>1</v>
      </c>
      <c r="G1" s="28" t="s">
        <v>29</v>
      </c>
      <c r="H1" s="28" t="s">
        <v>30</v>
      </c>
      <c r="I1" s="28" t="s">
        <v>31</v>
      </c>
      <c r="J1" s="28" t="s">
        <v>32</v>
      </c>
      <c r="K1" s="28" t="s">
        <v>33</v>
      </c>
      <c r="L1" s="28" t="s">
        <v>34</v>
      </c>
    </row>
    <row r="2" spans="1:12" x14ac:dyDescent="0.25">
      <c r="B2" s="25">
        <v>1</v>
      </c>
      <c r="C2" s="27">
        <v>0</v>
      </c>
      <c r="D2" s="27">
        <v>0</v>
      </c>
      <c r="E2" s="27">
        <v>1</v>
      </c>
      <c r="F2" s="26" t="s">
        <v>35</v>
      </c>
      <c r="G2" s="27">
        <v>1</v>
      </c>
      <c r="H2" s="25"/>
      <c r="I2" s="25"/>
      <c r="J2" s="25"/>
      <c r="K2" s="25"/>
      <c r="L2" s="25"/>
    </row>
    <row r="3" spans="1:12" x14ac:dyDescent="0.25">
      <c r="B3" s="25">
        <v>1</v>
      </c>
      <c r="C3" s="27">
        <v>0</v>
      </c>
      <c r="D3" s="27">
        <v>0</v>
      </c>
      <c r="E3" s="27">
        <v>1</v>
      </c>
      <c r="F3" s="26" t="s">
        <v>36</v>
      </c>
      <c r="G3" s="27">
        <v>1</v>
      </c>
      <c r="H3" s="25"/>
      <c r="I3" s="25"/>
      <c r="J3" s="25"/>
      <c r="K3" s="25"/>
      <c r="L3" s="25"/>
    </row>
    <row r="4" spans="1:12" x14ac:dyDescent="0.25">
      <c r="B4" s="25">
        <v>1</v>
      </c>
      <c r="C4" s="27">
        <v>0</v>
      </c>
      <c r="D4" s="27">
        <v>0</v>
      </c>
      <c r="E4" s="27">
        <v>1</v>
      </c>
      <c r="F4" s="26" t="s">
        <v>37</v>
      </c>
      <c r="G4" s="27">
        <v>1</v>
      </c>
      <c r="H4" s="25"/>
      <c r="I4" s="25"/>
      <c r="J4" s="25"/>
      <c r="K4" s="25"/>
      <c r="L4" s="25"/>
    </row>
    <row r="5" spans="1:12" x14ac:dyDescent="0.25">
      <c r="B5" s="25">
        <v>1</v>
      </c>
      <c r="C5" s="27">
        <v>0</v>
      </c>
      <c r="D5" s="27">
        <v>0</v>
      </c>
      <c r="E5" s="27">
        <v>1</v>
      </c>
      <c r="F5" s="26" t="s">
        <v>38</v>
      </c>
      <c r="G5" s="27">
        <v>0</v>
      </c>
      <c r="H5" s="25"/>
      <c r="I5" s="25"/>
      <c r="J5" s="25"/>
      <c r="K5" s="25"/>
      <c r="L5" s="25"/>
    </row>
    <row r="6" spans="1:12" x14ac:dyDescent="0.25">
      <c r="B6" s="25">
        <v>1</v>
      </c>
      <c r="C6" s="27">
        <v>0</v>
      </c>
      <c r="D6" s="27">
        <v>0</v>
      </c>
      <c r="E6" s="27">
        <v>1</v>
      </c>
      <c r="F6" s="26" t="s">
        <v>39</v>
      </c>
      <c r="G6" s="27">
        <v>0</v>
      </c>
      <c r="H6" s="25"/>
      <c r="I6" s="25"/>
      <c r="J6" s="25"/>
      <c r="K6" s="25"/>
      <c r="L6" s="25"/>
    </row>
    <row r="7" spans="1:12" x14ac:dyDescent="0.25">
      <c r="B7" s="25">
        <v>1</v>
      </c>
      <c r="C7" s="27">
        <v>0</v>
      </c>
      <c r="D7" s="27">
        <v>0</v>
      </c>
      <c r="E7" s="27">
        <v>1</v>
      </c>
      <c r="F7" s="26" t="s">
        <v>40</v>
      </c>
      <c r="G7" s="27">
        <v>0</v>
      </c>
      <c r="H7" s="25"/>
      <c r="I7" s="25"/>
      <c r="J7" s="25"/>
      <c r="K7" s="25"/>
      <c r="L7" s="25"/>
    </row>
    <row r="8" spans="1:12" x14ac:dyDescent="0.25">
      <c r="B8" s="25">
        <v>2</v>
      </c>
      <c r="C8" s="27">
        <v>1</v>
      </c>
      <c r="D8" s="27">
        <v>0</v>
      </c>
      <c r="E8" s="27">
        <v>3</v>
      </c>
      <c r="F8" s="26" t="s">
        <v>35</v>
      </c>
      <c r="G8" s="27">
        <v>1</v>
      </c>
      <c r="H8" s="25"/>
      <c r="I8" s="25"/>
      <c r="J8" s="25"/>
      <c r="K8" s="25"/>
      <c r="L8" s="25"/>
    </row>
    <row r="9" spans="1:12" x14ac:dyDescent="0.25">
      <c r="B9" s="25">
        <v>2</v>
      </c>
      <c r="C9" s="27">
        <v>1</v>
      </c>
      <c r="D9" s="27">
        <v>0</v>
      </c>
      <c r="E9" s="27">
        <v>3</v>
      </c>
      <c r="F9" s="26" t="s">
        <v>36</v>
      </c>
      <c r="G9" s="27">
        <v>1</v>
      </c>
      <c r="H9" s="25"/>
      <c r="I9" s="25"/>
      <c r="J9" s="25"/>
      <c r="K9" s="25"/>
      <c r="L9" s="25"/>
    </row>
    <row r="10" spans="1:12" x14ac:dyDescent="0.25">
      <c r="B10" s="25">
        <v>2</v>
      </c>
      <c r="C10" s="27">
        <v>1</v>
      </c>
      <c r="D10" s="27">
        <v>0</v>
      </c>
      <c r="E10" s="27">
        <v>3</v>
      </c>
      <c r="F10" s="26" t="s">
        <v>37</v>
      </c>
      <c r="G10" s="27">
        <v>1</v>
      </c>
      <c r="H10" s="25"/>
      <c r="I10" s="25"/>
      <c r="J10" s="25"/>
      <c r="K10" s="25"/>
      <c r="L10" s="25"/>
    </row>
    <row r="11" spans="1:12" x14ac:dyDescent="0.25">
      <c r="B11" s="25">
        <v>2</v>
      </c>
      <c r="C11" s="27">
        <v>1</v>
      </c>
      <c r="D11" s="27">
        <v>0</v>
      </c>
      <c r="E11" s="27">
        <v>3</v>
      </c>
      <c r="F11" s="26" t="s">
        <v>38</v>
      </c>
      <c r="G11" s="27">
        <v>0</v>
      </c>
      <c r="H11" s="25"/>
      <c r="I11" s="25"/>
      <c r="J11" s="25"/>
      <c r="K11" s="25"/>
      <c r="L11" s="25"/>
    </row>
    <row r="12" spans="1:12" x14ac:dyDescent="0.25">
      <c r="B12" s="25">
        <v>2</v>
      </c>
      <c r="C12" s="27">
        <v>1</v>
      </c>
      <c r="D12" s="27">
        <v>0</v>
      </c>
      <c r="E12" s="27">
        <v>3</v>
      </c>
      <c r="F12" s="26" t="s">
        <v>39</v>
      </c>
      <c r="G12" s="27">
        <v>0</v>
      </c>
      <c r="H12" s="25"/>
      <c r="I12" s="25"/>
      <c r="J12" s="25"/>
      <c r="K12" s="25"/>
      <c r="L12" s="25"/>
    </row>
    <row r="13" spans="1:12" x14ac:dyDescent="0.25">
      <c r="B13" s="25">
        <v>2</v>
      </c>
      <c r="C13" s="27">
        <v>1</v>
      </c>
      <c r="D13" s="27">
        <v>0</v>
      </c>
      <c r="E13" s="27">
        <v>3</v>
      </c>
      <c r="F13" s="26" t="s">
        <v>40</v>
      </c>
      <c r="G13" s="27">
        <v>0</v>
      </c>
      <c r="H13" s="25"/>
      <c r="I13" s="25"/>
      <c r="J13" s="25"/>
      <c r="K13" s="25"/>
      <c r="L13" s="25"/>
    </row>
    <row r="14" spans="1:12" x14ac:dyDescent="0.25">
      <c r="B14" s="25">
        <v>3</v>
      </c>
      <c r="C14" s="27">
        <v>0</v>
      </c>
      <c r="D14" s="27">
        <v>1</v>
      </c>
      <c r="E14" s="27">
        <v>2</v>
      </c>
      <c r="F14" s="26" t="s">
        <v>35</v>
      </c>
      <c r="G14" s="27">
        <v>1</v>
      </c>
      <c r="H14" s="25"/>
      <c r="I14" s="25"/>
      <c r="J14" s="25"/>
      <c r="K14" s="25"/>
      <c r="L14" s="25"/>
    </row>
    <row r="15" spans="1:12" x14ac:dyDescent="0.25">
      <c r="B15" s="25">
        <v>3</v>
      </c>
      <c r="C15" s="27">
        <v>0</v>
      </c>
      <c r="D15" s="27">
        <v>1</v>
      </c>
      <c r="E15" s="27">
        <v>2</v>
      </c>
      <c r="F15" s="26" t="s">
        <v>36</v>
      </c>
      <c r="G15" s="27">
        <v>1</v>
      </c>
      <c r="H15" s="25"/>
      <c r="I15" s="25"/>
      <c r="J15" s="25"/>
      <c r="K15" s="25"/>
      <c r="L15" s="25"/>
    </row>
    <row r="16" spans="1:12" x14ac:dyDescent="0.25">
      <c r="B16" s="25">
        <v>3</v>
      </c>
      <c r="C16" s="27">
        <v>0</v>
      </c>
      <c r="D16" s="27">
        <v>1</v>
      </c>
      <c r="E16" s="27">
        <v>2</v>
      </c>
      <c r="F16" s="26" t="s">
        <v>37</v>
      </c>
      <c r="G16" s="27">
        <v>1</v>
      </c>
      <c r="H16" s="25"/>
      <c r="I16" s="25"/>
      <c r="J16" s="25"/>
      <c r="K16" s="25"/>
      <c r="L16" s="25"/>
    </row>
    <row r="17" spans="2:12" x14ac:dyDescent="0.25">
      <c r="B17" s="25">
        <v>3</v>
      </c>
      <c r="C17" s="27">
        <v>0</v>
      </c>
      <c r="D17" s="27">
        <v>1</v>
      </c>
      <c r="E17" s="27">
        <v>2</v>
      </c>
      <c r="F17" s="26" t="s">
        <v>38</v>
      </c>
      <c r="G17" s="27">
        <v>0</v>
      </c>
      <c r="H17" s="25"/>
      <c r="I17" s="25"/>
      <c r="J17" s="25"/>
      <c r="K17" s="25"/>
      <c r="L17" s="25"/>
    </row>
    <row r="18" spans="2:12" x14ac:dyDescent="0.25">
      <c r="B18" s="25">
        <v>3</v>
      </c>
      <c r="C18" s="27">
        <v>0</v>
      </c>
      <c r="D18" s="27">
        <v>1</v>
      </c>
      <c r="E18" s="27">
        <v>2</v>
      </c>
      <c r="F18" s="26" t="s">
        <v>39</v>
      </c>
      <c r="G18" s="27">
        <v>0</v>
      </c>
      <c r="H18" s="25"/>
      <c r="I18" s="25"/>
      <c r="J18" s="25"/>
      <c r="K18" s="25"/>
      <c r="L18" s="25"/>
    </row>
    <row r="19" spans="2:12" x14ac:dyDescent="0.25">
      <c r="B19" s="25">
        <v>3</v>
      </c>
      <c r="C19" s="27">
        <v>0</v>
      </c>
      <c r="D19" s="27">
        <v>1</v>
      </c>
      <c r="E19" s="27">
        <v>2</v>
      </c>
      <c r="F19" s="26" t="s">
        <v>40</v>
      </c>
      <c r="G19" s="27">
        <v>0</v>
      </c>
      <c r="H19" s="25"/>
      <c r="I19" s="25"/>
      <c r="J19" s="25"/>
      <c r="K19" s="25"/>
      <c r="L19" s="25"/>
    </row>
    <row r="20" spans="2:12" x14ac:dyDescent="0.25">
      <c r="B20" s="25">
        <v>4</v>
      </c>
      <c r="C20" s="27">
        <v>1</v>
      </c>
      <c r="D20" s="27">
        <v>1</v>
      </c>
      <c r="E20" s="27">
        <v>4</v>
      </c>
      <c r="F20" s="26" t="s">
        <v>35</v>
      </c>
      <c r="G20" s="27">
        <v>1</v>
      </c>
      <c r="H20" s="25"/>
      <c r="I20" s="25"/>
      <c r="J20" s="25"/>
      <c r="K20" s="25"/>
      <c r="L20" s="25"/>
    </row>
    <row r="21" spans="2:12" x14ac:dyDescent="0.25">
      <c r="B21" s="25">
        <v>4</v>
      </c>
      <c r="C21" s="27">
        <v>1</v>
      </c>
      <c r="D21" s="27">
        <v>1</v>
      </c>
      <c r="E21" s="27">
        <v>4</v>
      </c>
      <c r="F21" s="26" t="s">
        <v>36</v>
      </c>
      <c r="G21" s="27">
        <v>1</v>
      </c>
      <c r="H21" s="25"/>
      <c r="I21" s="25"/>
      <c r="J21" s="25"/>
      <c r="K21" s="25"/>
      <c r="L21" s="25"/>
    </row>
    <row r="22" spans="2:12" x14ac:dyDescent="0.25">
      <c r="B22" s="25">
        <v>4</v>
      </c>
      <c r="C22" s="27">
        <v>1</v>
      </c>
      <c r="D22" s="27">
        <v>1</v>
      </c>
      <c r="E22" s="27">
        <v>4</v>
      </c>
      <c r="F22" s="26" t="s">
        <v>37</v>
      </c>
      <c r="G22" s="27">
        <v>1</v>
      </c>
      <c r="H22" s="25"/>
      <c r="I22" s="25"/>
      <c r="J22" s="25"/>
      <c r="K22" s="25"/>
      <c r="L22" s="25"/>
    </row>
    <row r="23" spans="2:12" x14ac:dyDescent="0.25">
      <c r="B23" s="25">
        <v>4</v>
      </c>
      <c r="C23" s="27">
        <v>1</v>
      </c>
      <c r="D23" s="27">
        <v>1</v>
      </c>
      <c r="E23" s="27">
        <v>4</v>
      </c>
      <c r="F23" s="26" t="s">
        <v>38</v>
      </c>
      <c r="G23" s="27">
        <v>0</v>
      </c>
      <c r="H23" s="25"/>
      <c r="I23" s="25"/>
      <c r="J23" s="25"/>
      <c r="K23" s="25"/>
      <c r="L23" s="25"/>
    </row>
    <row r="24" spans="2:12" x14ac:dyDescent="0.25">
      <c r="B24" s="25">
        <v>4</v>
      </c>
      <c r="C24" s="27">
        <v>1</v>
      </c>
      <c r="D24" s="27">
        <v>1</v>
      </c>
      <c r="E24" s="27">
        <v>4</v>
      </c>
      <c r="F24" s="26" t="s">
        <v>39</v>
      </c>
      <c r="G24" s="27">
        <v>0</v>
      </c>
      <c r="H24" s="25"/>
      <c r="I24" s="25"/>
      <c r="J24" s="25"/>
      <c r="K24" s="25"/>
      <c r="L24" s="25"/>
    </row>
    <row r="25" spans="2:12" x14ac:dyDescent="0.25">
      <c r="B25" s="25">
        <v>4</v>
      </c>
      <c r="C25" s="27">
        <v>1</v>
      </c>
      <c r="D25" s="27">
        <v>1</v>
      </c>
      <c r="E25" s="27">
        <v>4</v>
      </c>
      <c r="F25" s="26" t="s">
        <v>40</v>
      </c>
      <c r="G25" s="27">
        <v>0</v>
      </c>
      <c r="H25" s="25"/>
      <c r="I25" s="25"/>
      <c r="J25" s="25"/>
      <c r="K25" s="25"/>
      <c r="L25" s="25"/>
    </row>
    <row r="26" spans="2:12" x14ac:dyDescent="0.25">
      <c r="B26" s="25">
        <v>5</v>
      </c>
      <c r="C26" s="27">
        <v>1</v>
      </c>
      <c r="D26" s="27">
        <v>0</v>
      </c>
      <c r="E26" s="27">
        <v>3</v>
      </c>
      <c r="F26" s="26" t="s">
        <v>35</v>
      </c>
      <c r="G26" s="27">
        <v>1</v>
      </c>
      <c r="H26" s="25"/>
      <c r="I26" s="25"/>
      <c r="J26" s="25"/>
      <c r="K26" s="25"/>
      <c r="L26" s="25"/>
    </row>
    <row r="27" spans="2:12" x14ac:dyDescent="0.25">
      <c r="B27" s="25">
        <v>5</v>
      </c>
      <c r="C27" s="27">
        <v>1</v>
      </c>
      <c r="D27" s="27">
        <v>0</v>
      </c>
      <c r="E27" s="27">
        <v>3</v>
      </c>
      <c r="F27" s="26" t="s">
        <v>36</v>
      </c>
      <c r="G27" s="27">
        <v>1</v>
      </c>
      <c r="H27" s="25"/>
      <c r="I27" s="25"/>
      <c r="J27" s="25"/>
      <c r="K27" s="25"/>
      <c r="L27" s="25"/>
    </row>
    <row r="28" spans="2:12" x14ac:dyDescent="0.25">
      <c r="B28" s="25">
        <v>5</v>
      </c>
      <c r="C28" s="27">
        <v>1</v>
      </c>
      <c r="D28" s="27">
        <v>0</v>
      </c>
      <c r="E28" s="27">
        <v>3</v>
      </c>
      <c r="F28" s="26" t="s">
        <v>37</v>
      </c>
      <c r="G28" s="27">
        <v>1</v>
      </c>
      <c r="H28" s="25"/>
      <c r="I28" s="25"/>
      <c r="J28" s="25"/>
      <c r="K28" s="25"/>
      <c r="L28" s="25"/>
    </row>
    <row r="29" spans="2:12" x14ac:dyDescent="0.25">
      <c r="B29" s="25">
        <v>5</v>
      </c>
      <c r="C29" s="27">
        <v>1</v>
      </c>
      <c r="D29" s="27">
        <v>0</v>
      </c>
      <c r="E29" s="27">
        <v>3</v>
      </c>
      <c r="F29" s="26" t="s">
        <v>38</v>
      </c>
      <c r="G29" s="27">
        <v>0</v>
      </c>
      <c r="H29" s="25"/>
      <c r="I29" s="25"/>
      <c r="J29" s="25"/>
      <c r="K29" s="25"/>
      <c r="L29" s="25"/>
    </row>
    <row r="30" spans="2:12" x14ac:dyDescent="0.25">
      <c r="B30" s="25">
        <v>5</v>
      </c>
      <c r="C30" s="27">
        <v>1</v>
      </c>
      <c r="D30" s="27">
        <v>0</v>
      </c>
      <c r="E30" s="27">
        <v>3</v>
      </c>
      <c r="F30" s="26" t="s">
        <v>39</v>
      </c>
      <c r="G30" s="27">
        <v>0</v>
      </c>
      <c r="H30" s="25"/>
      <c r="I30" s="25"/>
      <c r="J30" s="25"/>
      <c r="K30" s="25"/>
      <c r="L30" s="25"/>
    </row>
    <row r="31" spans="2:12" x14ac:dyDescent="0.25">
      <c r="B31" s="25">
        <v>5</v>
      </c>
      <c r="C31" s="27">
        <v>1</v>
      </c>
      <c r="D31" s="27">
        <v>0</v>
      </c>
      <c r="E31" s="27">
        <v>3</v>
      </c>
      <c r="F31" s="26" t="s">
        <v>40</v>
      </c>
      <c r="G31" s="27">
        <v>0</v>
      </c>
      <c r="H31" s="25"/>
      <c r="I31" s="25"/>
      <c r="J31" s="25"/>
      <c r="K31" s="25"/>
      <c r="L31" s="25"/>
    </row>
    <row r="32" spans="2:12" x14ac:dyDescent="0.25">
      <c r="B32" s="25">
        <v>6</v>
      </c>
      <c r="C32" s="27">
        <v>0</v>
      </c>
      <c r="D32" s="27">
        <v>1</v>
      </c>
      <c r="E32" s="27">
        <v>2</v>
      </c>
      <c r="F32" s="26" t="s">
        <v>35</v>
      </c>
      <c r="G32" s="27">
        <v>1</v>
      </c>
      <c r="H32" s="25"/>
      <c r="I32" s="25"/>
      <c r="J32" s="25"/>
      <c r="K32" s="25"/>
      <c r="L32" s="25"/>
    </row>
    <row r="33" spans="2:12" x14ac:dyDescent="0.25">
      <c r="B33" s="25">
        <v>6</v>
      </c>
      <c r="C33" s="27">
        <v>0</v>
      </c>
      <c r="D33" s="27">
        <v>1</v>
      </c>
      <c r="E33" s="27">
        <v>2</v>
      </c>
      <c r="F33" s="26" t="s">
        <v>36</v>
      </c>
      <c r="G33" s="27">
        <v>1</v>
      </c>
      <c r="H33" s="25"/>
      <c r="I33" s="25"/>
      <c r="J33" s="25"/>
      <c r="K33" s="25"/>
      <c r="L33" s="25"/>
    </row>
    <row r="34" spans="2:12" x14ac:dyDescent="0.25">
      <c r="B34" s="25">
        <v>6</v>
      </c>
      <c r="C34" s="27">
        <v>0</v>
      </c>
      <c r="D34" s="27">
        <v>1</v>
      </c>
      <c r="E34" s="27">
        <v>2</v>
      </c>
      <c r="F34" s="26" t="s">
        <v>37</v>
      </c>
      <c r="G34" s="27">
        <v>1</v>
      </c>
      <c r="H34" s="25"/>
      <c r="I34" s="25"/>
      <c r="J34" s="25"/>
      <c r="K34" s="25"/>
      <c r="L34" s="25"/>
    </row>
    <row r="35" spans="2:12" x14ac:dyDescent="0.25">
      <c r="B35" s="25">
        <v>6</v>
      </c>
      <c r="C35" s="27">
        <v>0</v>
      </c>
      <c r="D35" s="27">
        <v>1</v>
      </c>
      <c r="E35" s="27">
        <v>2</v>
      </c>
      <c r="F35" s="26" t="s">
        <v>38</v>
      </c>
      <c r="G35" s="27">
        <v>0</v>
      </c>
      <c r="H35" s="25"/>
      <c r="I35" s="25"/>
      <c r="J35" s="25"/>
      <c r="K35" s="25"/>
      <c r="L35" s="25"/>
    </row>
    <row r="36" spans="2:12" x14ac:dyDescent="0.25">
      <c r="B36" s="25">
        <v>6</v>
      </c>
      <c r="C36" s="27">
        <v>0</v>
      </c>
      <c r="D36" s="27">
        <v>1</v>
      </c>
      <c r="E36" s="27">
        <v>2</v>
      </c>
      <c r="F36" s="26" t="s">
        <v>39</v>
      </c>
      <c r="G36" s="27">
        <v>0</v>
      </c>
      <c r="H36" s="25"/>
      <c r="I36" s="25"/>
      <c r="J36" s="25"/>
      <c r="K36" s="25"/>
      <c r="L36" s="25"/>
    </row>
    <row r="37" spans="2:12" x14ac:dyDescent="0.25">
      <c r="B37" s="25">
        <v>6</v>
      </c>
      <c r="C37" s="27">
        <v>0</v>
      </c>
      <c r="D37" s="27">
        <v>1</v>
      </c>
      <c r="E37" s="27">
        <v>2</v>
      </c>
      <c r="F37" s="26" t="s">
        <v>40</v>
      </c>
      <c r="G37" s="27">
        <v>0</v>
      </c>
      <c r="H37" s="25"/>
      <c r="I37" s="25"/>
      <c r="J37" s="25"/>
      <c r="K37" s="25"/>
      <c r="L37" s="25"/>
    </row>
    <row r="38" spans="2:12" x14ac:dyDescent="0.25">
      <c r="B38" s="25">
        <v>7</v>
      </c>
      <c r="C38" s="27">
        <v>1</v>
      </c>
      <c r="D38" s="27">
        <v>1</v>
      </c>
      <c r="E38" s="27">
        <v>4</v>
      </c>
      <c r="F38" s="26" t="s">
        <v>35</v>
      </c>
      <c r="G38" s="27">
        <v>1</v>
      </c>
      <c r="H38" s="25"/>
      <c r="I38" s="25"/>
      <c r="J38" s="25"/>
      <c r="K38" s="25"/>
      <c r="L38" s="25"/>
    </row>
    <row r="39" spans="2:12" x14ac:dyDescent="0.25">
      <c r="B39" s="25">
        <v>7</v>
      </c>
      <c r="C39" s="27">
        <v>1</v>
      </c>
      <c r="D39" s="27">
        <v>1</v>
      </c>
      <c r="E39" s="27">
        <v>4</v>
      </c>
      <c r="F39" s="26" t="s">
        <v>36</v>
      </c>
      <c r="G39" s="27">
        <v>1</v>
      </c>
      <c r="H39" s="25"/>
      <c r="I39" s="25"/>
      <c r="J39" s="25"/>
      <c r="K39" s="25"/>
      <c r="L39" s="25"/>
    </row>
    <row r="40" spans="2:12" x14ac:dyDescent="0.25">
      <c r="B40" s="25">
        <v>7</v>
      </c>
      <c r="C40" s="27">
        <v>1</v>
      </c>
      <c r="D40" s="27">
        <v>1</v>
      </c>
      <c r="E40" s="27">
        <v>4</v>
      </c>
      <c r="F40" s="26" t="s">
        <v>37</v>
      </c>
      <c r="G40" s="27">
        <v>1</v>
      </c>
      <c r="H40" s="25"/>
      <c r="I40" s="25"/>
      <c r="J40" s="25"/>
      <c r="K40" s="25"/>
      <c r="L40" s="25"/>
    </row>
    <row r="41" spans="2:12" x14ac:dyDescent="0.25">
      <c r="B41" s="25">
        <v>7</v>
      </c>
      <c r="C41" s="27">
        <v>1</v>
      </c>
      <c r="D41" s="27">
        <v>1</v>
      </c>
      <c r="E41" s="27">
        <v>4</v>
      </c>
      <c r="F41" s="26" t="s">
        <v>38</v>
      </c>
      <c r="G41" s="27">
        <v>0</v>
      </c>
      <c r="H41" s="25"/>
      <c r="I41" s="25"/>
      <c r="J41" s="25"/>
      <c r="K41" s="25"/>
      <c r="L41" s="25"/>
    </row>
    <row r="42" spans="2:12" x14ac:dyDescent="0.25">
      <c r="B42" s="25">
        <v>7</v>
      </c>
      <c r="C42" s="27">
        <v>1</v>
      </c>
      <c r="D42" s="27">
        <v>1</v>
      </c>
      <c r="E42" s="27">
        <v>4</v>
      </c>
      <c r="F42" s="26" t="s">
        <v>39</v>
      </c>
      <c r="G42" s="27">
        <v>0</v>
      </c>
      <c r="H42" s="25"/>
      <c r="I42" s="25"/>
      <c r="J42" s="25"/>
      <c r="K42" s="25"/>
      <c r="L42" s="25"/>
    </row>
    <row r="43" spans="2:12" x14ac:dyDescent="0.25">
      <c r="B43" s="25">
        <v>7</v>
      </c>
      <c r="C43" s="27">
        <v>1</v>
      </c>
      <c r="D43" s="27">
        <v>1</v>
      </c>
      <c r="E43" s="27">
        <v>4</v>
      </c>
      <c r="F43" s="26" t="s">
        <v>40</v>
      </c>
      <c r="G43" s="27">
        <v>0</v>
      </c>
      <c r="H43" s="25"/>
      <c r="I43" s="25"/>
      <c r="J43" s="25"/>
      <c r="K43" s="25"/>
      <c r="L43" s="25"/>
    </row>
    <row r="44" spans="2:12" x14ac:dyDescent="0.25">
      <c r="B44" s="25">
        <v>8</v>
      </c>
      <c r="C44" s="27">
        <v>0</v>
      </c>
      <c r="D44" s="27">
        <v>0</v>
      </c>
      <c r="E44" s="27">
        <v>1</v>
      </c>
      <c r="F44" s="26" t="s">
        <v>35</v>
      </c>
      <c r="G44" s="27">
        <v>1</v>
      </c>
      <c r="H44" s="25"/>
      <c r="I44" s="25"/>
      <c r="J44" s="25"/>
      <c r="K44" s="25"/>
      <c r="L44" s="25"/>
    </row>
    <row r="45" spans="2:12" x14ac:dyDescent="0.25">
      <c r="B45" s="25">
        <v>8</v>
      </c>
      <c r="C45" s="27">
        <v>0</v>
      </c>
      <c r="D45" s="27">
        <v>0</v>
      </c>
      <c r="E45" s="27">
        <v>1</v>
      </c>
      <c r="F45" s="26" t="s">
        <v>36</v>
      </c>
      <c r="G45" s="27">
        <v>1</v>
      </c>
      <c r="H45" s="25"/>
      <c r="I45" s="25"/>
      <c r="J45" s="25"/>
      <c r="K45" s="25"/>
      <c r="L45" s="25"/>
    </row>
    <row r="46" spans="2:12" x14ac:dyDescent="0.25">
      <c r="B46" s="25">
        <v>8</v>
      </c>
      <c r="C46" s="27">
        <v>0</v>
      </c>
      <c r="D46" s="27">
        <v>0</v>
      </c>
      <c r="E46" s="27">
        <v>1</v>
      </c>
      <c r="F46" s="26" t="s">
        <v>37</v>
      </c>
      <c r="G46" s="27">
        <v>1</v>
      </c>
      <c r="H46" s="25"/>
      <c r="I46" s="25"/>
      <c r="J46" s="25"/>
      <c r="K46" s="25"/>
      <c r="L46" s="25"/>
    </row>
    <row r="47" spans="2:12" x14ac:dyDescent="0.25">
      <c r="B47" s="25">
        <v>8</v>
      </c>
      <c r="C47" s="27">
        <v>0</v>
      </c>
      <c r="D47" s="27">
        <v>0</v>
      </c>
      <c r="E47" s="27">
        <v>1</v>
      </c>
      <c r="F47" s="26" t="s">
        <v>38</v>
      </c>
      <c r="G47" s="27">
        <v>0</v>
      </c>
      <c r="H47" s="25"/>
      <c r="I47" s="25"/>
      <c r="J47" s="25"/>
      <c r="K47" s="25"/>
      <c r="L47" s="25"/>
    </row>
    <row r="48" spans="2:12" x14ac:dyDescent="0.25">
      <c r="B48" s="25">
        <v>8</v>
      </c>
      <c r="C48" s="27">
        <v>0</v>
      </c>
      <c r="D48" s="27">
        <v>0</v>
      </c>
      <c r="E48" s="27">
        <v>1</v>
      </c>
      <c r="F48" s="26" t="s">
        <v>39</v>
      </c>
      <c r="G48" s="27">
        <v>0</v>
      </c>
      <c r="H48" s="25"/>
      <c r="I48" s="25"/>
      <c r="J48" s="25"/>
      <c r="K48" s="25"/>
      <c r="L48" s="25"/>
    </row>
    <row r="49" spans="2:12" x14ac:dyDescent="0.25">
      <c r="B49" s="25">
        <v>8</v>
      </c>
      <c r="C49" s="27">
        <v>0</v>
      </c>
      <c r="D49" s="27">
        <v>0</v>
      </c>
      <c r="E49" s="27">
        <v>1</v>
      </c>
      <c r="F49" s="26" t="s">
        <v>40</v>
      </c>
      <c r="G49" s="27">
        <v>0</v>
      </c>
      <c r="H49" s="25"/>
      <c r="I49" s="25"/>
      <c r="J49" s="25"/>
      <c r="K49" s="25"/>
      <c r="L49" s="25"/>
    </row>
    <row r="50" spans="2:12" x14ac:dyDescent="0.25">
      <c r="B50" s="25">
        <v>9</v>
      </c>
      <c r="C50" s="27">
        <v>1</v>
      </c>
      <c r="D50" s="27">
        <v>1</v>
      </c>
      <c r="E50" s="27">
        <v>4</v>
      </c>
      <c r="F50" s="26" t="s">
        <v>35</v>
      </c>
      <c r="G50" s="27">
        <v>1</v>
      </c>
      <c r="H50" s="25"/>
      <c r="I50" s="25"/>
      <c r="J50" s="25"/>
      <c r="K50" s="25"/>
      <c r="L50" s="25"/>
    </row>
    <row r="51" spans="2:12" x14ac:dyDescent="0.25">
      <c r="B51" s="25">
        <v>9</v>
      </c>
      <c r="C51" s="27">
        <v>1</v>
      </c>
      <c r="D51" s="27">
        <v>1</v>
      </c>
      <c r="E51" s="27">
        <v>4</v>
      </c>
      <c r="F51" s="26" t="s">
        <v>36</v>
      </c>
      <c r="G51" s="27">
        <v>1</v>
      </c>
      <c r="H51" s="25"/>
      <c r="I51" s="25"/>
      <c r="J51" s="25"/>
      <c r="K51" s="25"/>
      <c r="L51" s="25"/>
    </row>
    <row r="52" spans="2:12" x14ac:dyDescent="0.25">
      <c r="B52" s="25">
        <v>9</v>
      </c>
      <c r="C52" s="27">
        <v>1</v>
      </c>
      <c r="D52" s="27">
        <v>1</v>
      </c>
      <c r="E52" s="27">
        <v>4</v>
      </c>
      <c r="F52" s="26" t="s">
        <v>37</v>
      </c>
      <c r="G52" s="27">
        <v>1</v>
      </c>
      <c r="H52" s="25"/>
      <c r="I52" s="25"/>
      <c r="J52" s="25"/>
      <c r="K52" s="25"/>
      <c r="L52" s="25"/>
    </row>
    <row r="53" spans="2:12" x14ac:dyDescent="0.25">
      <c r="B53" s="25">
        <v>9</v>
      </c>
      <c r="C53" s="27">
        <v>1</v>
      </c>
      <c r="D53" s="27">
        <v>1</v>
      </c>
      <c r="E53" s="27">
        <v>4</v>
      </c>
      <c r="F53" s="26" t="s">
        <v>38</v>
      </c>
      <c r="G53" s="27">
        <v>0</v>
      </c>
      <c r="H53" s="25"/>
      <c r="I53" s="25"/>
      <c r="J53" s="25"/>
      <c r="K53" s="25"/>
      <c r="L53" s="25"/>
    </row>
    <row r="54" spans="2:12" x14ac:dyDescent="0.25">
      <c r="B54" s="25">
        <v>9</v>
      </c>
      <c r="C54" s="27">
        <v>1</v>
      </c>
      <c r="D54" s="27">
        <v>1</v>
      </c>
      <c r="E54" s="27">
        <v>4</v>
      </c>
      <c r="F54" s="26" t="s">
        <v>39</v>
      </c>
      <c r="G54" s="27">
        <v>0</v>
      </c>
      <c r="H54" s="25"/>
      <c r="I54" s="25"/>
      <c r="J54" s="25"/>
      <c r="K54" s="25"/>
      <c r="L54" s="25"/>
    </row>
    <row r="55" spans="2:12" x14ac:dyDescent="0.25">
      <c r="B55" s="25">
        <v>9</v>
      </c>
      <c r="C55" s="27">
        <v>1</v>
      </c>
      <c r="D55" s="27">
        <v>1</v>
      </c>
      <c r="E55" s="27">
        <v>4</v>
      </c>
      <c r="F55" s="26" t="s">
        <v>40</v>
      </c>
      <c r="G55" s="27">
        <v>0</v>
      </c>
      <c r="H55" s="25"/>
      <c r="I55" s="25"/>
      <c r="J55" s="25"/>
      <c r="K55" s="25"/>
      <c r="L55" s="25"/>
    </row>
    <row r="56" spans="2:12" x14ac:dyDescent="0.25">
      <c r="B56" s="25">
        <v>10</v>
      </c>
      <c r="C56" s="27">
        <v>1</v>
      </c>
      <c r="D56" s="27">
        <v>0</v>
      </c>
      <c r="E56" s="27">
        <v>3</v>
      </c>
      <c r="F56" s="26" t="s">
        <v>35</v>
      </c>
      <c r="G56" s="27">
        <v>1</v>
      </c>
      <c r="H56" s="25"/>
      <c r="I56" s="25"/>
      <c r="J56" s="25"/>
      <c r="K56" s="25"/>
      <c r="L56" s="25"/>
    </row>
    <row r="57" spans="2:12" x14ac:dyDescent="0.25">
      <c r="B57" s="25">
        <v>10</v>
      </c>
      <c r="C57" s="27">
        <v>1</v>
      </c>
      <c r="D57" s="27">
        <v>0</v>
      </c>
      <c r="E57" s="27">
        <v>3</v>
      </c>
      <c r="F57" s="26" t="s">
        <v>36</v>
      </c>
      <c r="G57" s="27">
        <v>1</v>
      </c>
      <c r="H57" s="25"/>
      <c r="I57" s="25"/>
      <c r="J57" s="25"/>
      <c r="K57" s="25"/>
      <c r="L57" s="25"/>
    </row>
    <row r="58" spans="2:12" x14ac:dyDescent="0.25">
      <c r="B58" s="25">
        <v>10</v>
      </c>
      <c r="C58" s="27">
        <v>1</v>
      </c>
      <c r="D58" s="27">
        <v>0</v>
      </c>
      <c r="E58" s="27">
        <v>3</v>
      </c>
      <c r="F58" s="26" t="s">
        <v>37</v>
      </c>
      <c r="G58" s="27">
        <v>1</v>
      </c>
      <c r="H58" s="25"/>
      <c r="I58" s="25"/>
      <c r="J58" s="25"/>
      <c r="K58" s="25"/>
      <c r="L58" s="25"/>
    </row>
    <row r="59" spans="2:12" x14ac:dyDescent="0.25">
      <c r="B59" s="25">
        <v>10</v>
      </c>
      <c r="C59" s="27">
        <v>1</v>
      </c>
      <c r="D59" s="27">
        <v>0</v>
      </c>
      <c r="E59" s="27">
        <v>3</v>
      </c>
      <c r="F59" s="26" t="s">
        <v>38</v>
      </c>
      <c r="G59" s="27">
        <v>0</v>
      </c>
      <c r="H59" s="25"/>
      <c r="I59" s="25"/>
      <c r="J59" s="25"/>
      <c r="K59" s="25"/>
      <c r="L59" s="25"/>
    </row>
    <row r="60" spans="2:12" x14ac:dyDescent="0.25">
      <c r="B60" s="25">
        <v>10</v>
      </c>
      <c r="C60" s="27">
        <v>1</v>
      </c>
      <c r="D60" s="27">
        <v>0</v>
      </c>
      <c r="E60" s="27">
        <v>3</v>
      </c>
      <c r="F60" s="26" t="s">
        <v>39</v>
      </c>
      <c r="G60" s="27">
        <v>0</v>
      </c>
      <c r="H60" s="25"/>
      <c r="I60" s="25"/>
      <c r="J60" s="25"/>
      <c r="K60" s="25"/>
      <c r="L60" s="25"/>
    </row>
    <row r="61" spans="2:12" x14ac:dyDescent="0.25">
      <c r="B61" s="25">
        <v>10</v>
      </c>
      <c r="C61" s="27">
        <v>1</v>
      </c>
      <c r="D61" s="27">
        <v>0</v>
      </c>
      <c r="E61" s="27">
        <v>3</v>
      </c>
      <c r="F61" s="26" t="s">
        <v>40</v>
      </c>
      <c r="G61" s="27">
        <v>0</v>
      </c>
      <c r="H61" s="25"/>
      <c r="I61" s="25"/>
      <c r="J61" s="25"/>
      <c r="K61" s="25"/>
      <c r="L61" s="25"/>
    </row>
    <row r="62" spans="2:12" x14ac:dyDescent="0.25">
      <c r="B62" s="25">
        <v>11</v>
      </c>
      <c r="C62" s="27">
        <v>0</v>
      </c>
      <c r="D62" s="27">
        <v>0</v>
      </c>
      <c r="E62" s="27">
        <v>1</v>
      </c>
      <c r="F62" s="26" t="s">
        <v>35</v>
      </c>
      <c r="G62" s="27">
        <v>1</v>
      </c>
      <c r="H62" s="25"/>
      <c r="I62" s="25"/>
      <c r="J62" s="25"/>
      <c r="K62" s="25"/>
      <c r="L62" s="25"/>
    </row>
    <row r="63" spans="2:12" x14ac:dyDescent="0.25">
      <c r="B63" s="25">
        <v>11</v>
      </c>
      <c r="C63" s="27">
        <v>0</v>
      </c>
      <c r="D63" s="27">
        <v>0</v>
      </c>
      <c r="E63" s="27">
        <v>1</v>
      </c>
      <c r="F63" s="26" t="s">
        <v>36</v>
      </c>
      <c r="G63" s="27">
        <v>1</v>
      </c>
      <c r="H63" s="25"/>
      <c r="I63" s="25"/>
      <c r="J63" s="25"/>
      <c r="K63" s="25"/>
      <c r="L63" s="25"/>
    </row>
    <row r="64" spans="2:12" x14ac:dyDescent="0.25">
      <c r="B64" s="25">
        <v>11</v>
      </c>
      <c r="C64" s="27">
        <v>0</v>
      </c>
      <c r="D64" s="27">
        <v>0</v>
      </c>
      <c r="E64" s="27">
        <v>1</v>
      </c>
      <c r="F64" s="26" t="s">
        <v>37</v>
      </c>
      <c r="G64" s="27">
        <v>1</v>
      </c>
      <c r="H64" s="25"/>
      <c r="I64" s="25"/>
      <c r="J64" s="25"/>
      <c r="K64" s="25"/>
      <c r="L64" s="25"/>
    </row>
    <row r="65" spans="2:12" x14ac:dyDescent="0.25">
      <c r="B65" s="25">
        <v>11</v>
      </c>
      <c r="C65" s="27">
        <v>0</v>
      </c>
      <c r="D65" s="27">
        <v>0</v>
      </c>
      <c r="E65" s="27">
        <v>1</v>
      </c>
      <c r="F65" s="26" t="s">
        <v>38</v>
      </c>
      <c r="G65" s="27">
        <v>0</v>
      </c>
      <c r="H65" s="25"/>
      <c r="I65" s="25"/>
      <c r="J65" s="25"/>
      <c r="K65" s="25"/>
      <c r="L65" s="25"/>
    </row>
    <row r="66" spans="2:12" x14ac:dyDescent="0.25">
      <c r="B66" s="25">
        <v>11</v>
      </c>
      <c r="C66" s="27">
        <v>0</v>
      </c>
      <c r="D66" s="27">
        <v>0</v>
      </c>
      <c r="E66" s="27">
        <v>1</v>
      </c>
      <c r="F66" s="26" t="s">
        <v>39</v>
      </c>
      <c r="G66" s="27">
        <v>0</v>
      </c>
      <c r="H66" s="25"/>
      <c r="I66" s="25"/>
      <c r="J66" s="25"/>
      <c r="K66" s="25"/>
      <c r="L66" s="25"/>
    </row>
    <row r="67" spans="2:12" x14ac:dyDescent="0.25">
      <c r="B67" s="25">
        <v>11</v>
      </c>
      <c r="C67" s="27">
        <v>0</v>
      </c>
      <c r="D67" s="27">
        <v>0</v>
      </c>
      <c r="E67" s="27">
        <v>1</v>
      </c>
      <c r="F67" s="26" t="s">
        <v>40</v>
      </c>
      <c r="G67" s="27">
        <v>0</v>
      </c>
      <c r="H67" s="25"/>
      <c r="I67" s="25"/>
      <c r="J67" s="25"/>
      <c r="K67" s="25"/>
      <c r="L67" s="25"/>
    </row>
    <row r="68" spans="2:12" x14ac:dyDescent="0.25">
      <c r="B68" s="25">
        <v>12</v>
      </c>
      <c r="C68" s="27">
        <v>0</v>
      </c>
      <c r="D68" s="27">
        <v>1</v>
      </c>
      <c r="E68" s="27">
        <v>2</v>
      </c>
      <c r="F68" s="26" t="s">
        <v>35</v>
      </c>
      <c r="G68" s="27">
        <v>1</v>
      </c>
      <c r="H68" s="25"/>
      <c r="I68" s="25"/>
      <c r="J68" s="25"/>
      <c r="K68" s="25"/>
      <c r="L68" s="25"/>
    </row>
    <row r="69" spans="2:12" x14ac:dyDescent="0.25">
      <c r="B69" s="25">
        <v>12</v>
      </c>
      <c r="C69" s="27">
        <v>0</v>
      </c>
      <c r="D69" s="27">
        <v>1</v>
      </c>
      <c r="E69" s="27">
        <v>2</v>
      </c>
      <c r="F69" s="26" t="s">
        <v>36</v>
      </c>
      <c r="G69" s="27">
        <v>1</v>
      </c>
      <c r="H69" s="25"/>
      <c r="I69" s="25"/>
      <c r="J69" s="25"/>
      <c r="K69" s="25"/>
      <c r="L69" s="25"/>
    </row>
    <row r="70" spans="2:12" x14ac:dyDescent="0.25">
      <c r="B70" s="25">
        <v>12</v>
      </c>
      <c r="C70" s="27">
        <v>0</v>
      </c>
      <c r="D70" s="27">
        <v>1</v>
      </c>
      <c r="E70" s="27">
        <v>2</v>
      </c>
      <c r="F70" s="26" t="s">
        <v>37</v>
      </c>
      <c r="G70" s="27">
        <v>1</v>
      </c>
      <c r="H70" s="25"/>
      <c r="I70" s="25"/>
      <c r="J70" s="25"/>
      <c r="K70" s="25"/>
      <c r="L70" s="25"/>
    </row>
    <row r="71" spans="2:12" x14ac:dyDescent="0.25">
      <c r="B71" s="25">
        <v>12</v>
      </c>
      <c r="C71" s="27">
        <v>0</v>
      </c>
      <c r="D71" s="27">
        <v>1</v>
      </c>
      <c r="E71" s="27">
        <v>2</v>
      </c>
      <c r="F71" s="26" t="s">
        <v>38</v>
      </c>
      <c r="G71" s="27">
        <v>0</v>
      </c>
      <c r="H71" s="25"/>
      <c r="I71" s="25"/>
      <c r="J71" s="25"/>
      <c r="K71" s="25"/>
      <c r="L71" s="25"/>
    </row>
    <row r="72" spans="2:12" x14ac:dyDescent="0.25">
      <c r="B72" s="25">
        <v>12</v>
      </c>
      <c r="C72" s="27">
        <v>0</v>
      </c>
      <c r="D72" s="27">
        <v>1</v>
      </c>
      <c r="E72" s="27">
        <v>2</v>
      </c>
      <c r="F72" s="26" t="s">
        <v>39</v>
      </c>
      <c r="G72" s="27">
        <v>0</v>
      </c>
      <c r="H72" s="25"/>
      <c r="I72" s="25"/>
      <c r="J72" s="25"/>
      <c r="K72" s="25"/>
      <c r="L72" s="25"/>
    </row>
    <row r="73" spans="2:12" x14ac:dyDescent="0.25">
      <c r="B73" s="25">
        <v>12</v>
      </c>
      <c r="C73" s="27">
        <v>0</v>
      </c>
      <c r="D73" s="27">
        <v>1</v>
      </c>
      <c r="E73" s="27">
        <v>2</v>
      </c>
      <c r="F73" s="26" t="s">
        <v>40</v>
      </c>
      <c r="G73" s="27">
        <v>0</v>
      </c>
      <c r="H73" s="25"/>
      <c r="I73" s="25"/>
      <c r="J73" s="25"/>
      <c r="K73" s="25"/>
      <c r="L73" s="2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"/>
  <sheetViews>
    <sheetView zoomScaleNormal="100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2" max="2" width="9.140625" style="1"/>
    <col min="3" max="3" width="12.7109375" bestFit="1" customWidth="1"/>
    <col min="4" max="4" width="14" bestFit="1" customWidth="1"/>
    <col min="5" max="5" width="16.42578125" bestFit="1" customWidth="1"/>
    <col min="6" max="6" width="15.28515625" bestFit="1" customWidth="1"/>
    <col min="7" max="7" width="8.7109375" bestFit="1" customWidth="1"/>
    <col min="8" max="8" width="28.85546875" bestFit="1" customWidth="1"/>
    <col min="9" max="9" width="9.140625" style="6"/>
    <col min="18" max="18" width="9.140625" style="6"/>
    <col min="26" max="26" width="9.140625" style="6"/>
  </cols>
  <sheetData>
    <row r="1" spans="1:32" ht="15.75" thickBot="1" x14ac:dyDescent="0.3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6" t="s">
        <v>0</v>
      </c>
      <c r="J1" s="6" t="s">
        <v>8</v>
      </c>
      <c r="K1" s="6" t="s">
        <v>9</v>
      </c>
      <c r="L1" s="6" t="s">
        <v>10</v>
      </c>
      <c r="M1" s="6" t="s">
        <v>10</v>
      </c>
      <c r="N1" s="6" t="s">
        <v>11</v>
      </c>
      <c r="O1" s="6" t="s">
        <v>12</v>
      </c>
      <c r="P1" s="6" t="s">
        <v>13</v>
      </c>
      <c r="Q1" s="6"/>
      <c r="R1" s="6" t="s">
        <v>0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  <c r="Y1" s="6"/>
      <c r="Z1" s="6" t="s">
        <v>0</v>
      </c>
      <c r="AA1" s="6" t="s">
        <v>14</v>
      </c>
      <c r="AB1" s="6" t="s">
        <v>15</v>
      </c>
      <c r="AC1" s="6" t="s">
        <v>16</v>
      </c>
      <c r="AD1" s="6" t="s">
        <v>17</v>
      </c>
      <c r="AE1" s="6" t="s">
        <v>18</v>
      </c>
      <c r="AF1" s="6" t="s">
        <v>19</v>
      </c>
    </row>
    <row r="2" spans="1:32" x14ac:dyDescent="0.25">
      <c r="A2" s="16">
        <v>1</v>
      </c>
      <c r="B2" s="17" t="s">
        <v>20</v>
      </c>
      <c r="C2" s="18"/>
      <c r="D2" s="18"/>
      <c r="E2" s="18"/>
      <c r="F2" s="19"/>
      <c r="G2" s="20"/>
      <c r="H2" s="14"/>
      <c r="I2" s="6">
        <f>A2</f>
        <v>1</v>
      </c>
      <c r="J2">
        <f>SUM(C2:C4)/3</f>
        <v>0</v>
      </c>
      <c r="K2">
        <f>SUM(C5:C7)/3</f>
        <v>0</v>
      </c>
      <c r="M2">
        <f>SUM(C2:C7)/6</f>
        <v>0</v>
      </c>
      <c r="N2">
        <f>SUM(D2:D7)/6</f>
        <v>0</v>
      </c>
      <c r="O2">
        <f>SUM(E2:E7)/6</f>
        <v>0</v>
      </c>
      <c r="P2">
        <f>SUM(F2:F7)/6</f>
        <v>0</v>
      </c>
      <c r="R2" s="6">
        <v>1</v>
      </c>
      <c r="S2">
        <f>J2</f>
        <v>0</v>
      </c>
      <c r="T2">
        <f>K2</f>
        <v>0</v>
      </c>
      <c r="U2">
        <f>M2</f>
        <v>0</v>
      </c>
      <c r="V2">
        <f>N2</f>
        <v>0</v>
      </c>
      <c r="W2">
        <f>O2</f>
        <v>0</v>
      </c>
      <c r="X2">
        <f>P2</f>
        <v>0</v>
      </c>
      <c r="Z2" s="6">
        <v>1</v>
      </c>
      <c r="AA2">
        <f>S2/((PI())*(0.0254^2))</f>
        <v>0</v>
      </c>
      <c r="AB2">
        <f>T2/((PI())*(0.0254^2))</f>
        <v>0</v>
      </c>
      <c r="AC2">
        <f>U2/((PI())*(0.0254^2))</f>
        <v>0</v>
      </c>
      <c r="AD2">
        <f>V2/((PI())*(0.0254^2))</f>
        <v>0</v>
      </c>
      <c r="AE2">
        <f t="shared" ref="AE2:AF13" si="0">W2/((PI())*(0.0254^2))</f>
        <v>0</v>
      </c>
      <c r="AF2">
        <f t="shared" si="0"/>
        <v>0</v>
      </c>
    </row>
    <row r="3" spans="1:32" x14ac:dyDescent="0.25">
      <c r="A3" s="7">
        <v>1</v>
      </c>
      <c r="B3" s="15" t="s">
        <v>21</v>
      </c>
      <c r="C3" s="7"/>
      <c r="D3" s="7"/>
      <c r="E3" s="7"/>
      <c r="F3" s="7"/>
      <c r="G3" s="9"/>
      <c r="H3" s="10"/>
      <c r="R3" s="6">
        <v>2</v>
      </c>
      <c r="S3">
        <f>J8</f>
        <v>0</v>
      </c>
      <c r="T3">
        <f>K8</f>
        <v>0</v>
      </c>
      <c r="U3">
        <f>M8</f>
        <v>0</v>
      </c>
      <c r="V3">
        <f>N8</f>
        <v>0</v>
      </c>
      <c r="W3">
        <f>O8</f>
        <v>0</v>
      </c>
      <c r="X3">
        <f>P8</f>
        <v>0</v>
      </c>
      <c r="Z3" s="6">
        <v>2</v>
      </c>
      <c r="AA3">
        <f t="shared" ref="AA3:AD13" si="1">S3/((PI())*(0.0254^2))</f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0"/>
        <v>0</v>
      </c>
      <c r="AF3">
        <f t="shared" si="0"/>
        <v>0</v>
      </c>
    </row>
    <row r="4" spans="1:32" x14ac:dyDescent="0.25">
      <c r="A4" s="2">
        <v>1</v>
      </c>
      <c r="B4" s="3" t="s">
        <v>23</v>
      </c>
      <c r="C4" s="2"/>
      <c r="D4" s="2"/>
      <c r="E4" s="2"/>
      <c r="F4" s="2"/>
      <c r="G4" s="9"/>
      <c r="H4" s="13"/>
      <c r="R4" s="6">
        <v>3</v>
      </c>
      <c r="S4">
        <f>J14</f>
        <v>0</v>
      </c>
      <c r="T4">
        <f>K14</f>
        <v>0</v>
      </c>
      <c r="U4">
        <f>M14</f>
        <v>0</v>
      </c>
      <c r="V4">
        <f>N14</f>
        <v>0</v>
      </c>
      <c r="W4">
        <f>O14</f>
        <v>0</v>
      </c>
      <c r="X4">
        <f>P14</f>
        <v>0</v>
      </c>
      <c r="Z4" s="6">
        <v>3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0"/>
        <v>0</v>
      </c>
      <c r="AF4">
        <f t="shared" si="0"/>
        <v>0</v>
      </c>
    </row>
    <row r="5" spans="1:32" x14ac:dyDescent="0.25">
      <c r="A5" s="2">
        <v>1</v>
      </c>
      <c r="B5" s="3" t="s">
        <v>22</v>
      </c>
      <c r="C5" s="2"/>
      <c r="D5" s="2"/>
      <c r="E5" s="2"/>
      <c r="F5" s="2"/>
      <c r="G5" s="9"/>
      <c r="H5" s="11"/>
      <c r="R5" s="6">
        <v>4</v>
      </c>
      <c r="S5">
        <f>J20</f>
        <v>0</v>
      </c>
      <c r="T5">
        <f>K20</f>
        <v>0</v>
      </c>
      <c r="U5">
        <f>M20</f>
        <v>0</v>
      </c>
      <c r="V5">
        <f>N20</f>
        <v>0</v>
      </c>
      <c r="W5">
        <f>O20</f>
        <v>0</v>
      </c>
      <c r="X5">
        <f>P20</f>
        <v>0</v>
      </c>
      <c r="Z5" s="6">
        <v>4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0"/>
        <v>0</v>
      </c>
      <c r="AF5">
        <f t="shared" si="0"/>
        <v>0</v>
      </c>
    </row>
    <row r="6" spans="1:32" x14ac:dyDescent="0.25">
      <c r="A6" s="2">
        <v>1</v>
      </c>
      <c r="B6" s="3" t="s">
        <v>24</v>
      </c>
      <c r="C6" s="2"/>
      <c r="D6" s="2"/>
      <c r="E6" s="2"/>
      <c r="F6" s="2"/>
      <c r="G6" s="9"/>
      <c r="H6" s="12"/>
      <c r="R6" s="6">
        <v>5</v>
      </c>
      <c r="S6">
        <f>J26</f>
        <v>0</v>
      </c>
      <c r="T6">
        <f>K26</f>
        <v>0</v>
      </c>
      <c r="U6">
        <f>M26</f>
        <v>0</v>
      </c>
      <c r="V6">
        <f>N26</f>
        <v>0</v>
      </c>
      <c r="W6">
        <f>O26</f>
        <v>0</v>
      </c>
      <c r="X6">
        <f>P26</f>
        <v>0</v>
      </c>
      <c r="Z6" s="6">
        <v>5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0"/>
        <v>0</v>
      </c>
      <c r="AF6">
        <f t="shared" si="0"/>
        <v>0</v>
      </c>
    </row>
    <row r="7" spans="1:32" x14ac:dyDescent="0.25">
      <c r="A7" s="2">
        <v>1</v>
      </c>
      <c r="B7" s="3" t="s">
        <v>25</v>
      </c>
      <c r="C7" s="2"/>
      <c r="D7" s="2"/>
      <c r="E7" s="2"/>
      <c r="F7" s="2"/>
      <c r="G7" s="2"/>
      <c r="H7" s="7"/>
      <c r="R7" s="6">
        <v>6</v>
      </c>
      <c r="S7">
        <f>J32</f>
        <v>0</v>
      </c>
      <c r="T7">
        <f>K32</f>
        <v>0</v>
      </c>
      <c r="U7">
        <f>M32</f>
        <v>0</v>
      </c>
      <c r="V7">
        <f>N32</f>
        <v>0</v>
      </c>
      <c r="W7">
        <f>O32</f>
        <v>0</v>
      </c>
      <c r="X7">
        <f>P32</f>
        <v>0</v>
      </c>
      <c r="Z7" s="6">
        <v>6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0"/>
        <v>0</v>
      </c>
      <c r="AF7">
        <f t="shared" si="0"/>
        <v>0</v>
      </c>
    </row>
    <row r="8" spans="1:32" x14ac:dyDescent="0.25">
      <c r="A8" s="2">
        <v>2</v>
      </c>
      <c r="B8" s="3" t="s">
        <v>20</v>
      </c>
      <c r="C8" s="2"/>
      <c r="D8" s="2"/>
      <c r="E8" s="5"/>
      <c r="F8" s="2"/>
      <c r="G8" s="8"/>
      <c r="H8" s="2"/>
      <c r="I8" s="6">
        <f>A8</f>
        <v>2</v>
      </c>
      <c r="J8">
        <f>SUM(C8:C10)/3</f>
        <v>0</v>
      </c>
      <c r="K8">
        <f>SUM(C11:C13)/3</f>
        <v>0</v>
      </c>
      <c r="M8">
        <f>SUM(C8:C13)/6</f>
        <v>0</v>
      </c>
      <c r="N8">
        <f>SUM(D8:D13)/6</f>
        <v>0</v>
      </c>
      <c r="O8">
        <f>SUM(E8:E13)/6</f>
        <v>0</v>
      </c>
      <c r="P8">
        <f>SUM(F8:F13)/6</f>
        <v>0</v>
      </c>
      <c r="R8" s="6">
        <v>7</v>
      </c>
      <c r="S8">
        <f>J38</f>
        <v>0</v>
      </c>
      <c r="T8">
        <f>K38</f>
        <v>0</v>
      </c>
      <c r="U8">
        <f>M38</f>
        <v>0</v>
      </c>
      <c r="V8">
        <f>N38</f>
        <v>0</v>
      </c>
      <c r="W8">
        <f>O38</f>
        <v>0</v>
      </c>
      <c r="X8">
        <f>P38</f>
        <v>0</v>
      </c>
      <c r="Z8" s="6">
        <v>7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0"/>
        <v>0</v>
      </c>
      <c r="AF8">
        <f t="shared" si="0"/>
        <v>0</v>
      </c>
    </row>
    <row r="9" spans="1:32" x14ac:dyDescent="0.25">
      <c r="A9" s="2">
        <v>2</v>
      </c>
      <c r="B9" s="3" t="s">
        <v>21</v>
      </c>
      <c r="C9" s="2"/>
      <c r="D9" s="2"/>
      <c r="E9" s="2"/>
      <c r="F9" s="2"/>
      <c r="G9" s="7"/>
      <c r="H9" s="2"/>
      <c r="R9" s="6">
        <v>8</v>
      </c>
      <c r="S9">
        <f>J44</f>
        <v>0</v>
      </c>
      <c r="T9">
        <f>K44</f>
        <v>0</v>
      </c>
      <c r="U9">
        <f>M44</f>
        <v>0</v>
      </c>
      <c r="V9">
        <f>N44</f>
        <v>0</v>
      </c>
      <c r="W9">
        <f>O44</f>
        <v>0</v>
      </c>
      <c r="X9">
        <f>P44</f>
        <v>0</v>
      </c>
      <c r="Z9" s="6">
        <v>8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0"/>
        <v>0</v>
      </c>
      <c r="AF9">
        <f t="shared" si="0"/>
        <v>0</v>
      </c>
    </row>
    <row r="10" spans="1:32" x14ac:dyDescent="0.25">
      <c r="A10" s="2">
        <v>2</v>
      </c>
      <c r="B10" s="3" t="s">
        <v>23</v>
      </c>
      <c r="C10" s="2"/>
      <c r="D10" s="2"/>
      <c r="E10" s="2"/>
      <c r="F10" s="2"/>
      <c r="G10" s="2"/>
      <c r="H10" s="2"/>
      <c r="R10" s="6">
        <v>9</v>
      </c>
      <c r="S10">
        <f>J50</f>
        <v>0</v>
      </c>
      <c r="T10">
        <f>K50</f>
        <v>0</v>
      </c>
      <c r="U10">
        <f>M50</f>
        <v>0</v>
      </c>
      <c r="V10">
        <f>N50</f>
        <v>0</v>
      </c>
      <c r="W10">
        <f>O50</f>
        <v>0</v>
      </c>
      <c r="X10">
        <f>P50</f>
        <v>0</v>
      </c>
      <c r="Z10" s="6">
        <v>9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0"/>
        <v>0</v>
      </c>
      <c r="AF10">
        <f t="shared" si="0"/>
        <v>0</v>
      </c>
    </row>
    <row r="11" spans="1:32" x14ac:dyDescent="0.25">
      <c r="A11" s="2">
        <v>2</v>
      </c>
      <c r="B11" s="3" t="s">
        <v>22</v>
      </c>
      <c r="C11" s="2"/>
      <c r="D11" s="2"/>
      <c r="E11" s="2"/>
      <c r="F11" s="2"/>
      <c r="G11" s="2"/>
      <c r="H11" s="2"/>
      <c r="R11" s="6">
        <v>10</v>
      </c>
      <c r="S11">
        <f>J56</f>
        <v>0</v>
      </c>
      <c r="T11">
        <f>K56</f>
        <v>0</v>
      </c>
      <c r="U11">
        <f>M56</f>
        <v>0</v>
      </c>
      <c r="V11">
        <f>N56</f>
        <v>0</v>
      </c>
      <c r="W11">
        <f>O56</f>
        <v>0</v>
      </c>
      <c r="X11">
        <f>P56</f>
        <v>0</v>
      </c>
      <c r="Z11" s="6">
        <v>10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0"/>
        <v>0</v>
      </c>
      <c r="AF11">
        <f t="shared" si="0"/>
        <v>0</v>
      </c>
    </row>
    <row r="12" spans="1:32" x14ac:dyDescent="0.25">
      <c r="A12" s="2">
        <v>2</v>
      </c>
      <c r="B12" s="3" t="s">
        <v>24</v>
      </c>
      <c r="C12" s="2"/>
      <c r="D12" s="2"/>
      <c r="E12" s="2"/>
      <c r="F12" s="2"/>
      <c r="G12" s="2"/>
      <c r="H12" s="2"/>
      <c r="R12" s="6">
        <v>11</v>
      </c>
      <c r="S12">
        <f>J62</f>
        <v>0</v>
      </c>
      <c r="T12">
        <f>K62</f>
        <v>0</v>
      </c>
      <c r="U12">
        <f>M62</f>
        <v>0</v>
      </c>
      <c r="V12">
        <f>N62</f>
        <v>0</v>
      </c>
      <c r="W12">
        <f>O62</f>
        <v>0</v>
      </c>
      <c r="X12">
        <f>P62</f>
        <v>0</v>
      </c>
      <c r="Z12" s="6">
        <v>11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0"/>
        <v>0</v>
      </c>
      <c r="AF12">
        <f t="shared" si="0"/>
        <v>0</v>
      </c>
    </row>
    <row r="13" spans="1:32" x14ac:dyDescent="0.25">
      <c r="A13" s="2">
        <v>2</v>
      </c>
      <c r="B13" s="3" t="s">
        <v>25</v>
      </c>
      <c r="C13" s="2"/>
      <c r="D13" s="2"/>
      <c r="E13" s="2"/>
      <c r="F13" s="2"/>
      <c r="G13" s="2"/>
      <c r="H13" s="2"/>
      <c r="R13" s="6">
        <v>12</v>
      </c>
      <c r="S13">
        <f>J68</f>
        <v>0</v>
      </c>
      <c r="T13">
        <f>K68</f>
        <v>0</v>
      </c>
      <c r="U13">
        <f>M68</f>
        <v>0</v>
      </c>
      <c r="V13">
        <f>N68</f>
        <v>0</v>
      </c>
      <c r="W13">
        <f>O68</f>
        <v>0</v>
      </c>
      <c r="X13">
        <f>P68</f>
        <v>0</v>
      </c>
      <c r="Z13" s="6">
        <v>12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0"/>
        <v>0</v>
      </c>
      <c r="AF13">
        <f t="shared" si="0"/>
        <v>0</v>
      </c>
    </row>
    <row r="14" spans="1:32" x14ac:dyDescent="0.25">
      <c r="A14" s="2">
        <v>3</v>
      </c>
      <c r="B14" s="3" t="s">
        <v>20</v>
      </c>
      <c r="C14" s="2"/>
      <c r="D14" s="2"/>
      <c r="E14" s="2"/>
      <c r="F14" s="2"/>
      <c r="G14" s="2"/>
      <c r="H14" s="2"/>
      <c r="I14" s="6">
        <f>A14</f>
        <v>3</v>
      </c>
      <c r="J14">
        <f>SUM(C14:C16)/3</f>
        <v>0</v>
      </c>
      <c r="K14">
        <f>SUM(C17:C19)/3</f>
        <v>0</v>
      </c>
      <c r="M14">
        <f>SUM(C14:C19)/6</f>
        <v>0</v>
      </c>
      <c r="N14">
        <f>SUM(D14:D19)/6</f>
        <v>0</v>
      </c>
      <c r="O14">
        <f>SUM(E14:E19)/6</f>
        <v>0</v>
      </c>
      <c r="P14">
        <f>SUM(F14:F19)/6</f>
        <v>0</v>
      </c>
    </row>
    <row r="15" spans="1:32" x14ac:dyDescent="0.25">
      <c r="A15" s="2">
        <v>3</v>
      </c>
      <c r="B15" s="3" t="s">
        <v>21</v>
      </c>
      <c r="C15" s="2"/>
      <c r="D15" s="2"/>
      <c r="E15" s="2"/>
      <c r="F15" s="2"/>
      <c r="G15" s="2"/>
      <c r="H15" s="2"/>
    </row>
    <row r="16" spans="1:32" x14ac:dyDescent="0.25">
      <c r="A16" s="2">
        <v>3</v>
      </c>
      <c r="B16" s="3" t="s">
        <v>23</v>
      </c>
      <c r="C16" s="2"/>
      <c r="D16" s="2"/>
      <c r="E16" s="2"/>
      <c r="F16" s="2"/>
      <c r="G16" s="2"/>
      <c r="H16" s="2"/>
    </row>
    <row r="17" spans="1:16" x14ac:dyDescent="0.25">
      <c r="A17" s="2">
        <v>3</v>
      </c>
      <c r="B17" s="3" t="s">
        <v>22</v>
      </c>
      <c r="C17" s="2"/>
      <c r="D17" s="2"/>
      <c r="E17" s="2"/>
      <c r="F17" s="2"/>
      <c r="G17" s="2"/>
      <c r="H17" s="2"/>
    </row>
    <row r="18" spans="1:16" x14ac:dyDescent="0.25">
      <c r="A18" s="2">
        <v>3</v>
      </c>
      <c r="B18" s="3" t="s">
        <v>24</v>
      </c>
      <c r="C18" s="2"/>
      <c r="D18" s="2"/>
      <c r="E18" s="2"/>
      <c r="F18" s="2"/>
      <c r="G18" s="2"/>
      <c r="H18" s="2"/>
    </row>
    <row r="19" spans="1:16" x14ac:dyDescent="0.25">
      <c r="A19" s="2">
        <v>3</v>
      </c>
      <c r="B19" s="3" t="s">
        <v>25</v>
      </c>
      <c r="C19" s="2"/>
      <c r="D19" s="2"/>
      <c r="E19" s="2"/>
      <c r="F19" s="2"/>
      <c r="G19" s="2"/>
      <c r="H19" s="2"/>
    </row>
    <row r="20" spans="1:16" x14ac:dyDescent="0.25">
      <c r="A20" s="2">
        <v>4</v>
      </c>
      <c r="B20" s="3" t="s">
        <v>20</v>
      </c>
      <c r="C20" s="2"/>
      <c r="D20" s="2"/>
      <c r="E20" s="2"/>
      <c r="F20" s="2"/>
      <c r="G20" s="2"/>
      <c r="H20" s="2"/>
      <c r="I20" s="6">
        <f>A20</f>
        <v>4</v>
      </c>
      <c r="J20">
        <f>SUM(C20:C22)/3</f>
        <v>0</v>
      </c>
      <c r="K20">
        <f>SUM(C23:C25)/3</f>
        <v>0</v>
      </c>
      <c r="M20">
        <f>SUM(C20:C25)/6</f>
        <v>0</v>
      </c>
      <c r="N20">
        <f>SUM(D20:D25)/6</f>
        <v>0</v>
      </c>
      <c r="O20">
        <f>SUM(E20:E25)/6</f>
        <v>0</v>
      </c>
      <c r="P20">
        <f>SUM(F20:F25)/6</f>
        <v>0</v>
      </c>
    </row>
    <row r="21" spans="1:16" x14ac:dyDescent="0.25">
      <c r="A21" s="2">
        <v>4</v>
      </c>
      <c r="B21" s="3" t="s">
        <v>21</v>
      </c>
      <c r="C21" s="2"/>
      <c r="D21" s="2"/>
      <c r="E21" s="2"/>
      <c r="F21" s="2"/>
      <c r="G21" s="2"/>
      <c r="H21" s="2"/>
    </row>
    <row r="22" spans="1:16" x14ac:dyDescent="0.25">
      <c r="A22" s="2">
        <v>4</v>
      </c>
      <c r="B22" s="3" t="s">
        <v>23</v>
      </c>
      <c r="C22" s="2"/>
      <c r="D22" s="2"/>
      <c r="E22" s="2"/>
      <c r="F22" s="2"/>
      <c r="G22" s="2"/>
      <c r="H22" s="2"/>
    </row>
    <row r="23" spans="1:16" x14ac:dyDescent="0.25">
      <c r="A23" s="2">
        <v>4</v>
      </c>
      <c r="B23" s="3" t="s">
        <v>22</v>
      </c>
      <c r="C23" s="2"/>
      <c r="D23" s="2"/>
      <c r="E23" s="2"/>
      <c r="F23" s="2"/>
      <c r="G23" s="2"/>
      <c r="H23" s="2"/>
    </row>
    <row r="24" spans="1:16" x14ac:dyDescent="0.25">
      <c r="A24" s="2">
        <v>4</v>
      </c>
      <c r="B24" s="3" t="s">
        <v>24</v>
      </c>
      <c r="C24" s="2"/>
      <c r="D24" s="2"/>
      <c r="E24" s="2"/>
      <c r="F24" s="2"/>
      <c r="G24" s="2"/>
      <c r="H24" s="2"/>
    </row>
    <row r="25" spans="1:16" x14ac:dyDescent="0.25">
      <c r="A25" s="2">
        <v>4</v>
      </c>
      <c r="B25" s="3" t="s">
        <v>25</v>
      </c>
      <c r="C25" s="2"/>
      <c r="D25" s="2"/>
      <c r="E25" s="2"/>
      <c r="F25" s="2"/>
      <c r="G25" s="2"/>
      <c r="H25" s="2"/>
    </row>
    <row r="26" spans="1:16" x14ac:dyDescent="0.25">
      <c r="A26" s="2">
        <v>5</v>
      </c>
      <c r="B26" s="3" t="s">
        <v>20</v>
      </c>
      <c r="C26" s="2"/>
      <c r="D26" s="2"/>
      <c r="E26" s="2"/>
      <c r="F26" s="2"/>
      <c r="G26" s="2"/>
      <c r="H26" s="2"/>
      <c r="I26" s="6">
        <f>A26</f>
        <v>5</v>
      </c>
      <c r="J26">
        <f>SUM(C26:C28)/3</f>
        <v>0</v>
      </c>
      <c r="K26">
        <f>SUM(C29:C31)/3</f>
        <v>0</v>
      </c>
      <c r="M26">
        <f>SUM(C26:C31)/6</f>
        <v>0</v>
      </c>
      <c r="N26">
        <f>SUM(D26:D31)/6</f>
        <v>0</v>
      </c>
      <c r="O26">
        <f>SUM(E26:E31)/6</f>
        <v>0</v>
      </c>
      <c r="P26">
        <f>SUM(F26:F31)/6</f>
        <v>0</v>
      </c>
    </row>
    <row r="27" spans="1:16" x14ac:dyDescent="0.25">
      <c r="A27" s="2">
        <v>5</v>
      </c>
      <c r="B27" s="3" t="s">
        <v>21</v>
      </c>
      <c r="C27" s="2"/>
      <c r="D27" s="2"/>
      <c r="F27" s="2"/>
      <c r="G27" s="2"/>
      <c r="H27" s="5"/>
    </row>
    <row r="28" spans="1:16" x14ac:dyDescent="0.25">
      <c r="A28" s="2">
        <v>5</v>
      </c>
      <c r="B28" s="3" t="s">
        <v>23</v>
      </c>
      <c r="C28" s="2"/>
      <c r="D28" s="2"/>
      <c r="E28" s="2"/>
      <c r="F28" s="2"/>
      <c r="G28" s="2"/>
      <c r="H28" s="2"/>
    </row>
    <row r="29" spans="1:16" x14ac:dyDescent="0.25">
      <c r="A29" s="2">
        <v>5</v>
      </c>
      <c r="B29" s="3" t="s">
        <v>22</v>
      </c>
      <c r="C29" s="2"/>
      <c r="D29" s="2"/>
      <c r="E29" s="2"/>
      <c r="F29" s="2"/>
      <c r="G29" s="2"/>
      <c r="H29" s="2"/>
    </row>
    <row r="30" spans="1:16" x14ac:dyDescent="0.25">
      <c r="A30" s="2">
        <v>5</v>
      </c>
      <c r="B30" s="3" t="s">
        <v>24</v>
      </c>
      <c r="C30" s="2"/>
      <c r="D30" s="2"/>
      <c r="E30" s="2"/>
      <c r="F30" s="2"/>
      <c r="G30" s="2"/>
      <c r="H30" s="2"/>
    </row>
    <row r="31" spans="1:16" x14ac:dyDescent="0.25">
      <c r="A31" s="2">
        <v>5</v>
      </c>
      <c r="B31" s="3" t="s">
        <v>25</v>
      </c>
      <c r="C31" s="2"/>
      <c r="D31" s="2"/>
      <c r="E31" s="2"/>
      <c r="F31" s="2"/>
      <c r="G31" s="2"/>
      <c r="H31" s="2"/>
    </row>
    <row r="32" spans="1:16" x14ac:dyDescent="0.25">
      <c r="A32" s="2">
        <v>6</v>
      </c>
      <c r="B32" s="3" t="s">
        <v>20</v>
      </c>
      <c r="C32" s="2"/>
      <c r="D32" s="2"/>
      <c r="E32" s="2"/>
      <c r="F32" s="5"/>
      <c r="G32" s="2"/>
      <c r="H32" s="5"/>
      <c r="I32" s="6">
        <f>A32</f>
        <v>6</v>
      </c>
      <c r="J32">
        <f>SUM(C32:C34)/3</f>
        <v>0</v>
      </c>
      <c r="K32">
        <f>SUM(C35:C37)/3</f>
        <v>0</v>
      </c>
      <c r="M32">
        <f>SUM(C32:C37)/6</f>
        <v>0</v>
      </c>
      <c r="N32">
        <f>SUM(D32:D37)/6</f>
        <v>0</v>
      </c>
      <c r="O32">
        <f>SUM(E32:E37)/6</f>
        <v>0</v>
      </c>
      <c r="P32">
        <f>SUM(F32:F37)/6</f>
        <v>0</v>
      </c>
    </row>
    <row r="33" spans="1:16" x14ac:dyDescent="0.25">
      <c r="A33" s="2">
        <v>6</v>
      </c>
      <c r="B33" s="3" t="s">
        <v>21</v>
      </c>
      <c r="C33" s="2"/>
      <c r="D33" s="2"/>
      <c r="E33" s="2"/>
      <c r="F33" s="4"/>
      <c r="G33" s="2"/>
      <c r="H33" s="2"/>
    </row>
    <row r="34" spans="1:16" x14ac:dyDescent="0.25">
      <c r="A34" s="2">
        <v>6</v>
      </c>
      <c r="B34" s="3" t="s">
        <v>23</v>
      </c>
      <c r="C34" s="2"/>
      <c r="D34" s="2"/>
      <c r="E34" s="2"/>
      <c r="F34" s="2"/>
      <c r="G34" s="2"/>
      <c r="H34" s="2"/>
    </row>
    <row r="35" spans="1:16" x14ac:dyDescent="0.25">
      <c r="A35" s="2">
        <v>6</v>
      </c>
      <c r="B35" s="3" t="s">
        <v>22</v>
      </c>
      <c r="C35" s="2"/>
      <c r="D35" s="2"/>
      <c r="E35" s="2"/>
      <c r="F35" s="2"/>
      <c r="G35" s="2"/>
      <c r="H35" s="2"/>
    </row>
    <row r="36" spans="1:16" x14ac:dyDescent="0.25">
      <c r="A36" s="2">
        <v>6</v>
      </c>
      <c r="B36" s="3" t="s">
        <v>24</v>
      </c>
      <c r="C36" s="2"/>
      <c r="D36" s="2"/>
      <c r="E36" s="2"/>
      <c r="F36" s="2"/>
      <c r="G36" s="2"/>
      <c r="H36" s="2"/>
    </row>
    <row r="37" spans="1:16" x14ac:dyDescent="0.25">
      <c r="A37" s="2">
        <v>6</v>
      </c>
      <c r="B37" s="3" t="s">
        <v>25</v>
      </c>
      <c r="C37" s="2"/>
      <c r="D37" s="2"/>
      <c r="E37" s="2"/>
      <c r="F37" s="2"/>
      <c r="G37" s="2"/>
      <c r="H37" s="2"/>
    </row>
    <row r="38" spans="1:16" x14ac:dyDescent="0.25">
      <c r="A38" s="2">
        <v>7</v>
      </c>
      <c r="B38" s="3" t="s">
        <v>20</v>
      </c>
      <c r="C38" s="2"/>
      <c r="D38" s="2"/>
      <c r="E38" s="2"/>
      <c r="F38" s="2"/>
      <c r="G38" s="2"/>
      <c r="H38" s="2"/>
      <c r="I38" s="6">
        <f>A38</f>
        <v>7</v>
      </c>
      <c r="J38">
        <f>SUM(C38:C39)/3</f>
        <v>0</v>
      </c>
      <c r="K38">
        <f>SUM(C41:C43)/3</f>
        <v>0</v>
      </c>
      <c r="M38">
        <f t="shared" ref="M38:M68" si="2">SUM(C38:C43)/6</f>
        <v>0</v>
      </c>
      <c r="N38">
        <f>SUM(D38:D43)/6</f>
        <v>0</v>
      </c>
      <c r="O38">
        <f>SUM(E38:E43)/6</f>
        <v>0</v>
      </c>
      <c r="P38">
        <f>SUM(F38:F43)/6</f>
        <v>0</v>
      </c>
    </row>
    <row r="39" spans="1:16" x14ac:dyDescent="0.25">
      <c r="A39" s="2">
        <v>7</v>
      </c>
      <c r="B39" s="3" t="s">
        <v>21</v>
      </c>
      <c r="C39" s="2"/>
      <c r="D39" s="2"/>
      <c r="E39" s="2"/>
      <c r="F39" s="2"/>
      <c r="G39" s="2"/>
      <c r="H39" s="2"/>
    </row>
    <row r="40" spans="1:16" x14ac:dyDescent="0.25">
      <c r="A40" s="2">
        <v>7</v>
      </c>
      <c r="B40" s="3" t="s">
        <v>23</v>
      </c>
      <c r="C40" s="2"/>
      <c r="D40" s="2"/>
      <c r="E40" s="2"/>
      <c r="F40" s="2"/>
      <c r="G40" s="2"/>
      <c r="H40" s="2"/>
    </row>
    <row r="41" spans="1:16" x14ac:dyDescent="0.25">
      <c r="A41" s="2">
        <v>7</v>
      </c>
      <c r="B41" s="3" t="s">
        <v>22</v>
      </c>
      <c r="C41" s="2"/>
      <c r="D41" s="2"/>
      <c r="E41" s="2"/>
      <c r="F41" s="2"/>
      <c r="G41" s="2"/>
      <c r="H41" s="2"/>
    </row>
    <row r="42" spans="1:16" x14ac:dyDescent="0.25">
      <c r="A42" s="2">
        <v>7</v>
      </c>
      <c r="B42" s="3" t="s">
        <v>24</v>
      </c>
      <c r="C42" s="2"/>
      <c r="D42" s="2"/>
      <c r="E42" s="2"/>
      <c r="F42" s="2"/>
      <c r="G42" s="2"/>
      <c r="H42" s="2"/>
    </row>
    <row r="43" spans="1:16" x14ac:dyDescent="0.25">
      <c r="A43" s="2">
        <v>7</v>
      </c>
      <c r="B43" s="3" t="s">
        <v>25</v>
      </c>
      <c r="C43" s="2"/>
      <c r="D43" s="2"/>
      <c r="E43" s="2"/>
      <c r="F43" s="2"/>
      <c r="G43" s="2"/>
      <c r="H43" s="2"/>
    </row>
    <row r="44" spans="1:16" x14ac:dyDescent="0.25">
      <c r="A44" s="2">
        <v>8</v>
      </c>
      <c r="B44" s="3" t="s">
        <v>20</v>
      </c>
      <c r="C44" s="2"/>
      <c r="D44" s="2"/>
      <c r="E44" s="2"/>
      <c r="F44" s="2"/>
      <c r="G44" s="2"/>
      <c r="H44" s="2"/>
      <c r="I44" s="6">
        <f>A44</f>
        <v>8</v>
      </c>
      <c r="J44">
        <f>SUM(C44:C46)/3</f>
        <v>0</v>
      </c>
      <c r="K44">
        <f t="shared" ref="K44:K68" si="3">SUM(C47:C49)/3</f>
        <v>0</v>
      </c>
      <c r="M44">
        <f t="shared" si="2"/>
        <v>0</v>
      </c>
      <c r="N44">
        <f>SUM(D44:D49)/6</f>
        <v>0</v>
      </c>
      <c r="O44">
        <f>SUM(E44:E49)/6</f>
        <v>0</v>
      </c>
      <c r="P44">
        <f>SUM(F44:F49)/6</f>
        <v>0</v>
      </c>
    </row>
    <row r="45" spans="1:16" x14ac:dyDescent="0.25">
      <c r="A45" s="2">
        <v>8</v>
      </c>
      <c r="B45" s="3" t="s">
        <v>21</v>
      </c>
      <c r="C45" s="2"/>
      <c r="D45" s="2"/>
      <c r="E45" s="2"/>
      <c r="F45" s="2"/>
      <c r="G45" s="2"/>
      <c r="H45" s="2"/>
    </row>
    <row r="46" spans="1:16" x14ac:dyDescent="0.25">
      <c r="A46" s="2">
        <v>8</v>
      </c>
      <c r="B46" s="3" t="s">
        <v>23</v>
      </c>
      <c r="C46" s="2"/>
      <c r="D46" s="2"/>
      <c r="E46" s="2"/>
      <c r="F46" s="2"/>
      <c r="G46" s="2"/>
      <c r="H46" s="2"/>
    </row>
    <row r="47" spans="1:16" x14ac:dyDescent="0.25">
      <c r="A47" s="2">
        <v>8</v>
      </c>
      <c r="B47" s="3" t="s">
        <v>22</v>
      </c>
      <c r="C47" s="2"/>
      <c r="D47" s="2"/>
      <c r="E47" s="2"/>
      <c r="F47" s="2"/>
      <c r="G47" s="2"/>
      <c r="H47" s="2"/>
    </row>
    <row r="48" spans="1:16" x14ac:dyDescent="0.25">
      <c r="A48" s="2">
        <v>8</v>
      </c>
      <c r="B48" s="3" t="s">
        <v>24</v>
      </c>
      <c r="C48" s="2"/>
      <c r="D48" s="2"/>
      <c r="E48" s="2"/>
      <c r="F48" s="2"/>
      <c r="G48" s="2"/>
      <c r="H48" s="2"/>
    </row>
    <row r="49" spans="1:16" x14ac:dyDescent="0.25">
      <c r="A49" s="2">
        <v>8</v>
      </c>
      <c r="B49" s="3" t="s">
        <v>25</v>
      </c>
      <c r="C49" s="2"/>
      <c r="D49" s="2"/>
      <c r="E49" s="2"/>
      <c r="F49" s="2"/>
      <c r="G49" s="2"/>
      <c r="H49" s="2"/>
    </row>
    <row r="50" spans="1:16" x14ac:dyDescent="0.25">
      <c r="A50" s="2">
        <v>9</v>
      </c>
      <c r="B50" s="3" t="s">
        <v>20</v>
      </c>
      <c r="C50" s="2"/>
      <c r="D50" s="2"/>
      <c r="E50" s="2"/>
      <c r="F50" s="2"/>
      <c r="G50" s="2"/>
      <c r="H50" s="2"/>
      <c r="I50" s="6">
        <f>A50</f>
        <v>9</v>
      </c>
      <c r="J50">
        <f t="shared" ref="J50:J68" si="4">SUM(C50:C52)/3</f>
        <v>0</v>
      </c>
      <c r="K50">
        <f t="shared" si="3"/>
        <v>0</v>
      </c>
      <c r="M50">
        <f t="shared" si="2"/>
        <v>0</v>
      </c>
      <c r="N50">
        <f>SUM(D50:D55)/6</f>
        <v>0</v>
      </c>
      <c r="O50">
        <f>SUM(E50:E55)/6</f>
        <v>0</v>
      </c>
      <c r="P50">
        <f>SUM(F50:F55)/6</f>
        <v>0</v>
      </c>
    </row>
    <row r="51" spans="1:16" x14ac:dyDescent="0.25">
      <c r="A51" s="2">
        <v>9</v>
      </c>
      <c r="B51" s="3" t="s">
        <v>21</v>
      </c>
      <c r="C51" s="2"/>
      <c r="D51" s="2"/>
      <c r="E51" s="2"/>
      <c r="F51" s="2"/>
      <c r="G51" s="2"/>
      <c r="H51" s="2"/>
    </row>
    <row r="52" spans="1:16" x14ac:dyDescent="0.25">
      <c r="A52" s="2">
        <v>9</v>
      </c>
      <c r="B52" s="3" t="s">
        <v>23</v>
      </c>
      <c r="C52" s="2"/>
      <c r="D52" s="2"/>
      <c r="E52" s="2"/>
      <c r="F52" s="2"/>
      <c r="G52" s="2"/>
      <c r="H52" s="2"/>
    </row>
    <row r="53" spans="1:16" x14ac:dyDescent="0.25">
      <c r="A53" s="2">
        <v>9</v>
      </c>
      <c r="B53" s="3" t="s">
        <v>22</v>
      </c>
      <c r="C53" s="2"/>
      <c r="D53" s="2"/>
      <c r="E53" s="2"/>
      <c r="F53" s="2"/>
      <c r="G53" s="2"/>
      <c r="H53" s="2"/>
    </row>
    <row r="54" spans="1:16" x14ac:dyDescent="0.25">
      <c r="A54" s="2">
        <v>9</v>
      </c>
      <c r="B54" s="3" t="s">
        <v>24</v>
      </c>
      <c r="C54" s="2"/>
      <c r="D54" s="2"/>
      <c r="E54" s="2"/>
      <c r="F54" s="2"/>
      <c r="G54" s="2"/>
      <c r="H54" s="2"/>
    </row>
    <row r="55" spans="1:16" x14ac:dyDescent="0.25">
      <c r="A55" s="2">
        <v>9</v>
      </c>
      <c r="B55" s="3" t="s">
        <v>25</v>
      </c>
      <c r="C55" s="2"/>
      <c r="D55" s="2"/>
      <c r="E55" s="2"/>
      <c r="F55" s="2"/>
      <c r="G55" s="2"/>
      <c r="H55" s="2"/>
    </row>
    <row r="56" spans="1:16" x14ac:dyDescent="0.25">
      <c r="A56" s="2">
        <v>10</v>
      </c>
      <c r="B56" s="3" t="s">
        <v>20</v>
      </c>
      <c r="C56" s="2"/>
      <c r="D56" s="2"/>
      <c r="E56" s="2"/>
      <c r="F56" s="2"/>
      <c r="G56" s="2"/>
      <c r="H56" s="2"/>
      <c r="I56" s="6">
        <f>A56</f>
        <v>10</v>
      </c>
      <c r="J56">
        <f t="shared" si="4"/>
        <v>0</v>
      </c>
      <c r="K56">
        <f t="shared" si="3"/>
        <v>0</v>
      </c>
      <c r="M56">
        <f t="shared" si="2"/>
        <v>0</v>
      </c>
      <c r="N56">
        <f>SUM(D56:D61)/6</f>
        <v>0</v>
      </c>
      <c r="O56">
        <f>SUM(E56:E61)/6</f>
        <v>0</v>
      </c>
      <c r="P56">
        <f>SUM(F56:F61)/6</f>
        <v>0</v>
      </c>
    </row>
    <row r="57" spans="1:16" x14ac:dyDescent="0.25">
      <c r="A57" s="2">
        <v>10</v>
      </c>
      <c r="B57" s="3" t="s">
        <v>21</v>
      </c>
      <c r="C57" s="2"/>
      <c r="D57" s="2"/>
      <c r="E57" s="2"/>
      <c r="F57" s="2"/>
      <c r="G57" s="2"/>
      <c r="H57" s="2"/>
    </row>
    <row r="58" spans="1:16" x14ac:dyDescent="0.25">
      <c r="A58" s="2">
        <v>10</v>
      </c>
      <c r="B58" s="3" t="s">
        <v>23</v>
      </c>
      <c r="C58" s="2"/>
      <c r="D58" s="2"/>
      <c r="E58" s="2"/>
      <c r="F58" s="2"/>
      <c r="G58" s="2"/>
      <c r="H58" s="2"/>
    </row>
    <row r="59" spans="1:16" x14ac:dyDescent="0.25">
      <c r="A59" s="2">
        <v>10</v>
      </c>
      <c r="B59" s="3" t="s">
        <v>22</v>
      </c>
      <c r="C59" s="2"/>
      <c r="D59" s="2"/>
      <c r="E59" s="2"/>
      <c r="F59" s="2"/>
      <c r="G59" s="2"/>
      <c r="H59" s="2"/>
    </row>
    <row r="60" spans="1:16" x14ac:dyDescent="0.25">
      <c r="A60" s="2">
        <v>10</v>
      </c>
      <c r="B60" s="3" t="s">
        <v>24</v>
      </c>
      <c r="C60" s="2"/>
      <c r="D60" s="2"/>
      <c r="E60" s="2"/>
      <c r="F60" s="2"/>
      <c r="G60" s="2"/>
      <c r="H60" s="2"/>
    </row>
    <row r="61" spans="1:16" x14ac:dyDescent="0.25">
      <c r="A61" s="2">
        <v>10</v>
      </c>
      <c r="B61" s="3" t="s">
        <v>25</v>
      </c>
      <c r="C61" s="2"/>
      <c r="D61" s="2"/>
      <c r="E61" s="2"/>
      <c r="F61" s="2"/>
      <c r="G61" s="2"/>
      <c r="H61" s="2"/>
    </row>
    <row r="62" spans="1:16" x14ac:dyDescent="0.25">
      <c r="A62" s="2">
        <v>11</v>
      </c>
      <c r="B62" s="3" t="s">
        <v>20</v>
      </c>
      <c r="C62" s="2"/>
      <c r="D62" s="2"/>
      <c r="E62" s="2"/>
      <c r="F62" s="2"/>
      <c r="G62" s="2"/>
      <c r="H62" s="2"/>
      <c r="I62" s="6">
        <f>A62</f>
        <v>11</v>
      </c>
      <c r="J62">
        <f t="shared" si="4"/>
        <v>0</v>
      </c>
      <c r="K62">
        <f t="shared" si="3"/>
        <v>0</v>
      </c>
      <c r="M62">
        <f t="shared" si="2"/>
        <v>0</v>
      </c>
      <c r="N62">
        <f>SUM(D62:D67)/6</f>
        <v>0</v>
      </c>
      <c r="O62">
        <f>SUM(E62:E67)/6</f>
        <v>0</v>
      </c>
      <c r="P62">
        <f>SUM(F62:F67)/6</f>
        <v>0</v>
      </c>
    </row>
    <row r="63" spans="1:16" x14ac:dyDescent="0.25">
      <c r="A63" s="2">
        <v>11</v>
      </c>
      <c r="B63" s="3" t="s">
        <v>21</v>
      </c>
      <c r="C63" s="2"/>
      <c r="D63" s="2"/>
      <c r="E63" s="2"/>
      <c r="F63" s="2"/>
      <c r="G63" s="2"/>
      <c r="H63" s="2"/>
    </row>
    <row r="64" spans="1:16" x14ac:dyDescent="0.25">
      <c r="A64" s="2">
        <v>11</v>
      </c>
      <c r="B64" s="3" t="s">
        <v>23</v>
      </c>
      <c r="C64" s="2"/>
      <c r="D64" s="2"/>
      <c r="E64" s="2"/>
      <c r="F64" s="2"/>
      <c r="G64" s="2"/>
      <c r="H64" s="2"/>
    </row>
    <row r="65" spans="1:16" x14ac:dyDescent="0.25">
      <c r="A65" s="2">
        <v>11</v>
      </c>
      <c r="B65" s="3" t="s">
        <v>22</v>
      </c>
      <c r="C65" s="2"/>
      <c r="D65" s="2"/>
      <c r="E65" s="2"/>
      <c r="F65" s="2"/>
      <c r="G65" s="2"/>
      <c r="H65" s="2"/>
    </row>
    <row r="66" spans="1:16" x14ac:dyDescent="0.25">
      <c r="A66" s="2">
        <v>11</v>
      </c>
      <c r="B66" s="3" t="s">
        <v>24</v>
      </c>
      <c r="C66" s="2"/>
      <c r="D66" s="2"/>
      <c r="E66" s="2"/>
      <c r="F66" s="2"/>
      <c r="G66" s="2"/>
      <c r="H66" s="2"/>
    </row>
    <row r="67" spans="1:16" x14ac:dyDescent="0.25">
      <c r="A67" s="2">
        <v>11</v>
      </c>
      <c r="B67" s="3" t="s">
        <v>25</v>
      </c>
      <c r="C67" s="2"/>
      <c r="D67" s="2"/>
      <c r="E67" s="2"/>
      <c r="F67" s="2"/>
      <c r="G67" s="2"/>
      <c r="H67" s="2"/>
    </row>
    <row r="68" spans="1:16" x14ac:dyDescent="0.25">
      <c r="A68" s="2">
        <v>12</v>
      </c>
      <c r="B68" s="3" t="s">
        <v>20</v>
      </c>
      <c r="C68" s="2"/>
      <c r="D68" s="2"/>
      <c r="E68" s="2"/>
      <c r="F68" s="2"/>
      <c r="G68" s="2"/>
      <c r="H68" s="2"/>
      <c r="I68" s="6">
        <f>A68</f>
        <v>12</v>
      </c>
      <c r="J68">
        <f t="shared" si="4"/>
        <v>0</v>
      </c>
      <c r="K68">
        <f t="shared" si="3"/>
        <v>0</v>
      </c>
      <c r="M68">
        <f t="shared" si="2"/>
        <v>0</v>
      </c>
      <c r="N68">
        <f>SUM(D68:D73)/6</f>
        <v>0</v>
      </c>
      <c r="O68">
        <f>SUM(E68:E73)/6</f>
        <v>0</v>
      </c>
      <c r="P68">
        <f>SUM(F68:F73)/6</f>
        <v>0</v>
      </c>
    </row>
    <row r="69" spans="1:16" x14ac:dyDescent="0.25">
      <c r="A69" s="2">
        <v>12</v>
      </c>
      <c r="B69" s="3" t="s">
        <v>21</v>
      </c>
      <c r="C69" s="2"/>
      <c r="D69" s="2"/>
      <c r="E69" s="2"/>
      <c r="F69" s="2"/>
      <c r="G69" s="2"/>
      <c r="H69" s="2"/>
    </row>
    <row r="70" spans="1:16" x14ac:dyDescent="0.25">
      <c r="A70" s="2">
        <v>12</v>
      </c>
      <c r="B70" s="3" t="s">
        <v>23</v>
      </c>
      <c r="C70" s="2"/>
      <c r="D70" s="2"/>
      <c r="E70" s="2"/>
      <c r="F70" s="2"/>
      <c r="G70" s="2"/>
      <c r="H70" s="2"/>
    </row>
    <row r="71" spans="1:16" x14ac:dyDescent="0.25">
      <c r="A71" s="2">
        <v>12</v>
      </c>
      <c r="B71" s="3" t="s">
        <v>22</v>
      </c>
      <c r="C71" s="2"/>
      <c r="D71" s="2"/>
      <c r="E71" s="2"/>
      <c r="F71" s="2"/>
      <c r="G71" s="2"/>
      <c r="H71" s="2"/>
    </row>
    <row r="72" spans="1:16" x14ac:dyDescent="0.25">
      <c r="A72" s="2">
        <v>12</v>
      </c>
      <c r="B72" s="3" t="s">
        <v>24</v>
      </c>
      <c r="C72" s="2"/>
      <c r="D72" s="2"/>
      <c r="E72" s="2"/>
      <c r="F72" s="2"/>
      <c r="G72" s="2"/>
      <c r="H72" s="2"/>
    </row>
    <row r="73" spans="1:16" x14ac:dyDescent="0.25">
      <c r="A73" s="2">
        <v>12</v>
      </c>
      <c r="B73" s="3" t="s">
        <v>25</v>
      </c>
      <c r="C73" s="5"/>
      <c r="D73" s="2"/>
      <c r="E73" s="2"/>
      <c r="F73" s="2"/>
      <c r="G73" s="2"/>
      <c r="H7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Entry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Whitman, Jenelle</dc:creator>
  <cp:lastModifiedBy>Ellis, Victoria</cp:lastModifiedBy>
  <dcterms:created xsi:type="dcterms:W3CDTF">2019-02-27T16:27:04Z</dcterms:created>
  <dcterms:modified xsi:type="dcterms:W3CDTF">2025-03-21T13:06:10Z</dcterms:modified>
</cp:coreProperties>
</file>